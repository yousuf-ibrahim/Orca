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duciacapitaluae-my.sharepoint.com/personal/rauman_trehaan_fiduciacapital_com/Documents/Desktop/Fiducia/"/>
    </mc:Choice>
  </mc:AlternateContent>
  <xr:revisionPtr revIDLastSave="174" documentId="8_{C28AFFB1-435D-40AE-8E9B-579115A0CB7F}" xr6:coauthVersionLast="47" xr6:coauthVersionMax="47" xr10:uidLastSave="{D6BE4640-5A9B-4AE7-92CE-610A44281028}"/>
  <bookViews>
    <workbookView xWindow="-108" yWindow="-108" windowWidth="23256" windowHeight="12456" xr2:uid="{596ACF43-ED83-4754-AECB-CA85D613B5AF}"/>
  </bookViews>
  <sheets>
    <sheet name="New FCL Dashboard" sheetId="2" r:id="rId1"/>
  </sheets>
  <externalReferences>
    <externalReference r:id="rId2"/>
  </externalReferences>
  <definedNames>
    <definedName name="SpreadsheetBuilder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" l="1"/>
  <c r="H47" i="2"/>
  <c r="H16" i="2"/>
  <c r="G16" i="2"/>
  <c r="F16" i="2"/>
  <c r="E16" i="2"/>
  <c r="D16" i="2"/>
  <c r="H12" i="2"/>
  <c r="G12" i="2"/>
  <c r="F12" i="2"/>
  <c r="E12" i="2"/>
  <c r="D12" i="2"/>
  <c r="H59" i="2"/>
  <c r="D15" i="2" l="1"/>
  <c r="I53" i="2"/>
  <c r="I52" i="2"/>
  <c r="D41" i="2"/>
  <c r="D40" i="2"/>
  <c r="H40" i="2" s="1"/>
  <c r="D39" i="2"/>
  <c r="H39" i="2" s="1"/>
  <c r="H38" i="2"/>
  <c r="D37" i="2"/>
  <c r="H37" i="2" s="1"/>
  <c r="E36" i="2"/>
  <c r="I36" i="2" s="1"/>
  <c r="H35" i="2"/>
  <c r="H34" i="2"/>
  <c r="H33" i="2"/>
  <c r="D33" i="2"/>
  <c r="H32" i="2"/>
  <c r="D32" i="2"/>
  <c r="E31" i="2"/>
  <c r="I31" i="2" s="1"/>
  <c r="D30" i="2"/>
  <c r="H30" i="2" s="1"/>
  <c r="H29" i="2"/>
  <c r="H28" i="2"/>
  <c r="H27" i="2"/>
  <c r="H26" i="2"/>
  <c r="E25" i="2"/>
  <c r="H24" i="2"/>
  <c r="H23" i="2"/>
  <c r="D22" i="2"/>
  <c r="E21" i="2"/>
  <c r="I21" i="2" s="1"/>
  <c r="D21" i="2"/>
  <c r="H14" i="2"/>
  <c r="G14" i="2"/>
  <c r="F14" i="2"/>
  <c r="E14" i="2"/>
  <c r="D11" i="2"/>
  <c r="F17" i="2" l="1"/>
  <c r="E17" i="2"/>
  <c r="H22" i="2"/>
  <c r="G17" i="2"/>
  <c r="H17" i="2"/>
  <c r="E42" i="2"/>
  <c r="C33" i="2" s="1"/>
  <c r="D36" i="2"/>
  <c r="G36" i="2" s="1"/>
  <c r="H36" i="2" s="1"/>
  <c r="D13" i="2"/>
  <c r="D31" i="2"/>
  <c r="G31" i="2" s="1"/>
  <c r="H31" i="2" s="1"/>
  <c r="D25" i="2"/>
  <c r="G25" i="2" s="1"/>
  <c r="H25" i="2" s="1"/>
  <c r="D10" i="2"/>
  <c r="C23" i="2"/>
  <c r="C37" i="2"/>
  <c r="C34" i="2"/>
  <c r="C40" i="2"/>
  <c r="C32" i="2"/>
  <c r="C29" i="2"/>
  <c r="C24" i="2"/>
  <c r="C22" i="2"/>
  <c r="C26" i="2"/>
  <c r="C39" i="2"/>
  <c r="C38" i="2"/>
  <c r="C30" i="2"/>
  <c r="C28" i="2"/>
  <c r="C27" i="2"/>
  <c r="I25" i="2"/>
  <c r="H41" i="2"/>
  <c r="G21" i="2"/>
  <c r="H21" i="2" s="1"/>
  <c r="C35" i="2" l="1"/>
  <c r="C41" i="2"/>
  <c r="C21" i="2"/>
  <c r="D14" i="2"/>
  <c r="I42" i="2"/>
  <c r="H48" i="2" s="1"/>
  <c r="H53" i="2" s="1"/>
  <c r="D42" i="2"/>
  <c r="G42" i="2" s="1"/>
  <c r="C25" i="2"/>
  <c r="C36" i="2"/>
  <c r="H50" i="2"/>
  <c r="H42" i="2"/>
  <c r="C31" i="2"/>
  <c r="H49" i="2" l="1"/>
  <c r="D17" i="2"/>
  <c r="C42" i="2"/>
</calcChain>
</file>

<file path=xl/sharedStrings.xml><?xml version="1.0" encoding="utf-8"?>
<sst xmlns="http://schemas.openxmlformats.org/spreadsheetml/2006/main" count="99" uniqueCount="88">
  <si>
    <t>Investor Details</t>
  </si>
  <si>
    <t>Custodian 1</t>
  </si>
  <si>
    <t>Custodian 2</t>
  </si>
  <si>
    <t>Custodian 3</t>
  </si>
  <si>
    <t>Custodian 4</t>
  </si>
  <si>
    <t>Custodian Name</t>
  </si>
  <si>
    <t>Account No.</t>
  </si>
  <si>
    <t>Investment Risk Profile</t>
  </si>
  <si>
    <t>Investment Objective/ Return Expectations</t>
  </si>
  <si>
    <t>Restrictions/ Exclusions, If Any</t>
  </si>
  <si>
    <t>Consolidated AUMs</t>
  </si>
  <si>
    <t>Consolidated</t>
  </si>
  <si>
    <t>Gross Assets ($)</t>
  </si>
  <si>
    <t>Total Liabilities ($)</t>
  </si>
  <si>
    <t>Net Assets ($)</t>
  </si>
  <si>
    <t>Wtd Avg  Lending Rate p.a.</t>
  </si>
  <si>
    <t>Loan Interest ($)</t>
  </si>
  <si>
    <t>Current Asset Allocation - Consolidated</t>
  </si>
  <si>
    <t>Product</t>
  </si>
  <si>
    <t>Allocation %</t>
  </si>
  <si>
    <t>Notional Value $</t>
  </si>
  <si>
    <t>Current Value $</t>
  </si>
  <si>
    <t>Wtd Avg. Yield %</t>
  </si>
  <si>
    <t>Wtd Avg. Coupon/ Income %</t>
  </si>
  <si>
    <t>Annual Cashflows $</t>
  </si>
  <si>
    <t>Indicative LTV %</t>
  </si>
  <si>
    <t>Capital Gains (P/L %)</t>
  </si>
  <si>
    <t>Cash</t>
  </si>
  <si>
    <t>Fiduciary Deposits</t>
  </si>
  <si>
    <t>Fixed Income</t>
  </si>
  <si>
    <t>Single line Bonds - Cocos</t>
  </si>
  <si>
    <t>Bond Funds/ ETFs</t>
  </si>
  <si>
    <t>Credit Linked Notes</t>
  </si>
  <si>
    <t>Rates Linked Notes</t>
  </si>
  <si>
    <t>Equity</t>
  </si>
  <si>
    <t>Single Line Equity</t>
  </si>
  <si>
    <t>Equity Funds/ ETFs</t>
  </si>
  <si>
    <t>Mixed Allocation Funds</t>
  </si>
  <si>
    <t>Equity Linked Structured Products</t>
  </si>
  <si>
    <t>Alternatives</t>
  </si>
  <si>
    <t>Commodities &amp; Precious Metals</t>
  </si>
  <si>
    <t>Commodities Linked Structured Products</t>
  </si>
  <si>
    <t>Hedge Funds</t>
  </si>
  <si>
    <t>Private Equity/ Venture Capital</t>
  </si>
  <si>
    <t>REITs</t>
  </si>
  <si>
    <t>Grand Total</t>
  </si>
  <si>
    <t>Net Cashflow Yield %</t>
  </si>
  <si>
    <t>Portfolio Risk Metrics - Consolidated</t>
  </si>
  <si>
    <t xml:space="preserve">Portfolio </t>
  </si>
  <si>
    <t>FCL Policy</t>
  </si>
  <si>
    <t>Largest Single Position Concentration</t>
  </si>
  <si>
    <t>Leverage Utilisation</t>
  </si>
  <si>
    <t>Approved LTV</t>
  </si>
  <si>
    <t>Headroom</t>
  </si>
  <si>
    <t>Complex Products (Equity SPs, Monoline Cocos, CLNs, SPs linked to Rates, Hedge Funds, SPs Linked to Commodities, Private Equity, Private Credit)</t>
  </si>
  <si>
    <t>Drawdown Scenario *</t>
  </si>
  <si>
    <t>* No change in available LTV approved by custodians</t>
  </si>
  <si>
    <t>Geographical Distribution</t>
  </si>
  <si>
    <t>Cash/ Money Market Funds</t>
  </si>
  <si>
    <t>Annual Cashflows</t>
  </si>
  <si>
    <t>Net Cashflows</t>
  </si>
  <si>
    <t>Cash Management Solutions (100% Cap Protected FRNs)</t>
  </si>
  <si>
    <t>Single Line Bonds</t>
  </si>
  <si>
    <t>Single Line Equities</t>
  </si>
  <si>
    <t>Sector/Industry Distribution</t>
  </si>
  <si>
    <t>Rating Distribution</t>
  </si>
  <si>
    <t>Maturity Distribution</t>
  </si>
  <si>
    <t>Single Line Bonds - Wtd Avg Duration</t>
  </si>
  <si>
    <t>Single Line Bonds -Wtd Avg Rating</t>
  </si>
  <si>
    <t>BB+</t>
  </si>
  <si>
    <t>Single Line Bonds -Wtd Avg Yield %</t>
  </si>
  <si>
    <t>Charts</t>
  </si>
  <si>
    <t>Single Line Equities -Wtd Avg Dvd Yield %</t>
  </si>
  <si>
    <t>Single line Bonds - Ex Cocos</t>
  </si>
  <si>
    <t>PRR</t>
  </si>
  <si>
    <t>Wtd Avg. Product Risk Rating</t>
  </si>
  <si>
    <t>Complex Products/ Derivatives K&amp;E</t>
  </si>
  <si>
    <t>Page 2</t>
  </si>
  <si>
    <t>Cash &amp; Liabilities</t>
  </si>
  <si>
    <t>USD</t>
  </si>
  <si>
    <t>EUR</t>
  </si>
  <si>
    <t>GBP</t>
  </si>
  <si>
    <t>CHF</t>
  </si>
  <si>
    <t>JPY</t>
  </si>
  <si>
    <t>Cash Breakup (Base ccy)</t>
  </si>
  <si>
    <t>Cash Breakup ($)</t>
  </si>
  <si>
    <t>Liabilities</t>
  </si>
  <si>
    <t>Interest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</si>
</sst>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_);\(0.0\)"/>
    <numFmt numFmtId="165" formatCode="_(* #,##0.00_);_(* \(#,##0.00\);_(* &quot;-&quot;??_);_(@_)"/>
    <numFmt numFmtId="166" formatCode="0.0%"/>
    <numFmt numFmtId="167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sz val="9"/>
      <color theme="0"/>
      <name val="Roboto"/>
    </font>
    <font>
      <sz val="9"/>
      <color theme="1"/>
      <name val="Roboto"/>
    </font>
    <font>
      <b/>
      <sz val="9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3" fontId="3" fillId="3" borderId="0" xfId="2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3" fontId="4" fillId="3" borderId="0" xfId="2" applyNumberFormat="1" applyFont="1" applyFill="1" applyAlignment="1">
      <alignment horizontal="left" vertical="top" wrapText="1"/>
    </xf>
    <xf numFmtId="10" fontId="3" fillId="3" borderId="0" xfId="1" applyNumberFormat="1" applyFont="1" applyFill="1" applyAlignment="1">
      <alignment horizontal="left" vertical="top" wrapText="1"/>
    </xf>
    <xf numFmtId="10" fontId="3" fillId="3" borderId="0" xfId="0" applyNumberFormat="1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9" fontId="3" fillId="3" borderId="0" xfId="0" applyNumberFormat="1" applyFont="1" applyFill="1" applyAlignment="1">
      <alignment horizontal="left" vertical="top" wrapText="1"/>
    </xf>
    <xf numFmtId="9" fontId="5" fillId="6" borderId="0" xfId="1" applyFont="1" applyFill="1" applyBorder="1" applyAlignment="1">
      <alignment horizontal="left" vertical="top" wrapText="1"/>
    </xf>
    <xf numFmtId="10" fontId="4" fillId="3" borderId="0" xfId="1" applyNumberFormat="1" applyFont="1" applyFill="1" applyAlignment="1">
      <alignment horizontal="left" vertical="top" wrapText="1"/>
    </xf>
    <xf numFmtId="10" fontId="4" fillId="3" borderId="0" xfId="1" applyNumberFormat="1" applyFont="1" applyFill="1" applyBorder="1" applyAlignment="1">
      <alignment horizontal="left" vertical="top" wrapText="1"/>
    </xf>
    <xf numFmtId="1" fontId="3" fillId="3" borderId="0" xfId="0" applyNumberFormat="1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64" fontId="6" fillId="2" borderId="0" xfId="0" applyNumberFormat="1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4" fontId="9" fillId="4" borderId="1" xfId="0" applyNumberFormat="1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166" fontId="8" fillId="3" borderId="2" xfId="1" applyNumberFormat="1" applyFont="1" applyFill="1" applyBorder="1" applyAlignment="1">
      <alignment horizontal="left" vertical="top" wrapText="1"/>
    </xf>
    <xf numFmtId="3" fontId="8" fillId="3" borderId="2" xfId="0" applyNumberFormat="1" applyFont="1" applyFill="1" applyBorder="1" applyAlignment="1">
      <alignment horizontal="left" vertical="top" wrapText="1"/>
    </xf>
    <xf numFmtId="10" fontId="8" fillId="3" borderId="2" xfId="1" applyNumberFormat="1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 indent="2"/>
    </xf>
    <xf numFmtId="166" fontId="10" fillId="3" borderId="0" xfId="1" applyNumberFormat="1" applyFont="1" applyFill="1" applyBorder="1" applyAlignment="1">
      <alignment horizontal="left" vertical="top" wrapText="1"/>
    </xf>
    <xf numFmtId="37" fontId="10" fillId="3" borderId="0" xfId="0" applyNumberFormat="1" applyFont="1" applyFill="1" applyAlignment="1">
      <alignment horizontal="left" vertical="top" wrapText="1"/>
    </xf>
    <xf numFmtId="3" fontId="10" fillId="3" borderId="0" xfId="2" applyNumberFormat="1" applyFont="1" applyFill="1" applyBorder="1" applyAlignment="1">
      <alignment horizontal="left" vertical="top" wrapText="1"/>
    </xf>
    <xf numFmtId="10" fontId="10" fillId="3" borderId="0" xfId="3" applyNumberFormat="1" applyFont="1" applyFill="1" applyBorder="1" applyAlignment="1">
      <alignment horizontal="left" vertical="top" wrapText="1"/>
    </xf>
    <xf numFmtId="9" fontId="10" fillId="3" borderId="0" xfId="1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10" fontId="10" fillId="3" borderId="0" xfId="1" applyNumberFormat="1" applyFont="1" applyFill="1" applyBorder="1" applyAlignment="1">
      <alignment horizontal="left" vertical="top" wrapText="1"/>
    </xf>
    <xf numFmtId="9" fontId="10" fillId="3" borderId="3" xfId="1" applyFont="1" applyFill="1" applyBorder="1" applyAlignment="1">
      <alignment horizontal="left" vertical="top" wrapText="1"/>
    </xf>
    <xf numFmtId="37" fontId="8" fillId="3" borderId="2" xfId="0" applyNumberFormat="1" applyFont="1" applyFill="1" applyBorder="1" applyAlignment="1">
      <alignment horizontal="left" vertical="top" wrapText="1"/>
    </xf>
    <xf numFmtId="3" fontId="8" fillId="3" borderId="2" xfId="2" applyNumberFormat="1" applyFont="1" applyFill="1" applyBorder="1" applyAlignment="1">
      <alignment horizontal="left" vertical="top" wrapText="1"/>
    </xf>
    <xf numFmtId="9" fontId="10" fillId="3" borderId="0" xfId="3" applyNumberFormat="1" applyFont="1" applyFill="1" applyBorder="1" applyAlignment="1">
      <alignment horizontal="left" vertical="top" wrapText="1"/>
    </xf>
    <xf numFmtId="3" fontId="10" fillId="3" borderId="0" xfId="0" applyNumberFormat="1" applyFont="1" applyFill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 indent="2"/>
    </xf>
    <xf numFmtId="166" fontId="10" fillId="3" borderId="3" xfId="1" applyNumberFormat="1" applyFont="1" applyFill="1" applyBorder="1" applyAlignment="1">
      <alignment horizontal="left" vertical="top" wrapText="1"/>
    </xf>
    <xf numFmtId="3" fontId="10" fillId="3" borderId="3" xfId="0" applyNumberFormat="1" applyFont="1" applyFill="1" applyBorder="1" applyAlignment="1">
      <alignment horizontal="left" vertical="top" wrapText="1"/>
    </xf>
    <xf numFmtId="3" fontId="10" fillId="3" borderId="3" xfId="2" applyNumberFormat="1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166" fontId="8" fillId="3" borderId="4" xfId="1" applyNumberFormat="1" applyFont="1" applyFill="1" applyBorder="1" applyAlignment="1">
      <alignment horizontal="left" vertical="top" wrapText="1"/>
    </xf>
    <xf numFmtId="3" fontId="8" fillId="5" borderId="4" xfId="2" applyNumberFormat="1" applyFont="1" applyFill="1" applyBorder="1" applyAlignment="1">
      <alignment horizontal="left" vertical="top" wrapText="1"/>
    </xf>
    <xf numFmtId="2" fontId="8" fillId="5" borderId="4" xfId="1" applyNumberFormat="1" applyFont="1" applyFill="1" applyBorder="1" applyAlignment="1">
      <alignment horizontal="left" vertical="top" wrapText="1"/>
    </xf>
    <xf numFmtId="10" fontId="8" fillId="5" borderId="4" xfId="1" applyNumberFormat="1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166" fontId="8" fillId="3" borderId="0" xfId="1" applyNumberFormat="1" applyFont="1" applyFill="1" applyBorder="1" applyAlignment="1">
      <alignment horizontal="left" vertical="top" wrapText="1"/>
    </xf>
    <xf numFmtId="3" fontId="8" fillId="5" borderId="0" xfId="2" applyNumberFormat="1" applyFont="1" applyFill="1" applyBorder="1" applyAlignment="1">
      <alignment horizontal="left" vertical="top" wrapText="1"/>
    </xf>
    <xf numFmtId="2" fontId="8" fillId="5" borderId="0" xfId="1" applyNumberFormat="1" applyFont="1" applyFill="1" applyBorder="1" applyAlignment="1">
      <alignment horizontal="left" vertical="top" wrapText="1"/>
    </xf>
    <xf numFmtId="10" fontId="8" fillId="5" borderId="0" xfId="1" applyNumberFormat="1" applyFont="1" applyFill="1" applyBorder="1" applyAlignment="1">
      <alignment horizontal="left" vertical="top" wrapText="1"/>
    </xf>
    <xf numFmtId="10" fontId="7" fillId="0" borderId="0" xfId="0" applyNumberFormat="1" applyFont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2" fontId="8" fillId="3" borderId="0" xfId="1" applyNumberFormat="1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167" fontId="10" fillId="3" borderId="0" xfId="1" applyNumberFormat="1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 wrapText="1"/>
    </xf>
    <xf numFmtId="9" fontId="13" fillId="3" borderId="0" xfId="0" applyNumberFormat="1" applyFont="1" applyFill="1" applyAlignment="1">
      <alignment horizontal="left" vertical="top" wrapText="1"/>
    </xf>
    <xf numFmtId="10" fontId="10" fillId="0" borderId="0" xfId="0" applyNumberFormat="1" applyFont="1" applyAlignment="1">
      <alignment horizontal="left" vertical="top" wrapText="1"/>
    </xf>
  </cellXfs>
  <cellStyles count="4">
    <cellStyle name="Comma 2" xfId="2" xr:uid="{B4F0BF80-C920-45E5-A1C5-13CBAD144178}"/>
    <cellStyle name="Comma 3" xfId="3" xr:uid="{0D1C703F-6117-48FB-B960-701012C39155}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duciacapitaluae-my.sharepoint.com/personal/rauman_trehaan_fiduciacapital_com/Documents/Desktop/Fiducia/Clients/Farmer/AUMs.xlsx" TargetMode="External"/><Relationship Id="rId1" Type="http://schemas.openxmlformats.org/officeDocument/2006/relationships/externalLinkPath" Target="Clients/Farmer/A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FCL Dashboard"/>
      <sheetName val="Current Allocation - Consolidat"/>
      <sheetName val="EKCK portfolio"/>
      <sheetName val="Cash"/>
      <sheetName val="Fixed Income"/>
      <sheetName val="Hedge Funds"/>
      <sheetName val="Private Equity"/>
      <sheetName val="Commod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EC4B-3A3B-4607-93E0-D8D984B2D2F7}">
  <dimension ref="B1:K501"/>
  <sheetViews>
    <sheetView showGridLines="0" tabSelected="1" topLeftCell="A26" zoomScaleNormal="100" workbookViewId="0">
      <selection activeCell="C11" sqref="C11"/>
    </sheetView>
  </sheetViews>
  <sheetFormatPr defaultColWidth="8.88671875" defaultRowHeight="12" x14ac:dyDescent="0.3"/>
  <cols>
    <col min="1" max="1" width="8.88671875" style="15"/>
    <col min="2" max="2" width="48.44140625" style="15" customWidth="1"/>
    <col min="3" max="3" width="12.21875" style="15" customWidth="1"/>
    <col min="4" max="4" width="14.109375" style="15" customWidth="1"/>
    <col min="5" max="5" width="14.33203125" style="15" customWidth="1"/>
    <col min="6" max="6" width="14.77734375" style="15" customWidth="1"/>
    <col min="7" max="7" width="22.5546875" style="15" customWidth="1"/>
    <col min="8" max="8" width="15.88671875" style="15" customWidth="1"/>
    <col min="9" max="9" width="13.5546875" style="15" customWidth="1"/>
    <col min="10" max="10" width="18.44140625" style="15" customWidth="1"/>
    <col min="11" max="16384" width="8.88671875" style="15"/>
  </cols>
  <sheetData>
    <row r="1" spans="2:9" s="17" customFormat="1" ht="13.05" customHeight="1" x14ac:dyDescent="0.3">
      <c r="B1" s="16" t="s">
        <v>0</v>
      </c>
      <c r="C1" s="16"/>
      <c r="D1" s="16"/>
      <c r="E1" s="16" t="s">
        <v>1</v>
      </c>
      <c r="F1" s="16" t="s">
        <v>2</v>
      </c>
      <c r="G1" s="16" t="s">
        <v>3</v>
      </c>
      <c r="H1" s="16" t="s">
        <v>4</v>
      </c>
      <c r="I1" s="16"/>
    </row>
    <row r="2" spans="2:9" s="17" customFormat="1" ht="13.05" customHeight="1" x14ac:dyDescent="0.3">
      <c r="B2" s="1" t="s">
        <v>5</v>
      </c>
      <c r="C2" s="2"/>
      <c r="D2" s="2"/>
      <c r="E2" s="2"/>
      <c r="F2" s="2"/>
      <c r="G2" s="2"/>
      <c r="H2" s="2"/>
      <c r="I2" s="2"/>
    </row>
    <row r="3" spans="2:9" s="17" customFormat="1" ht="13.05" customHeight="1" x14ac:dyDescent="0.3">
      <c r="B3" s="1" t="s">
        <v>6</v>
      </c>
      <c r="C3" s="2"/>
      <c r="D3" s="2"/>
      <c r="E3" s="2"/>
      <c r="F3" s="2"/>
      <c r="G3" s="2"/>
      <c r="H3" s="2"/>
      <c r="I3" s="2"/>
    </row>
    <row r="4" spans="2:9" s="17" customFormat="1" ht="13.05" customHeight="1" x14ac:dyDescent="0.3">
      <c r="B4" s="1" t="s">
        <v>7</v>
      </c>
      <c r="C4" s="2"/>
      <c r="D4" s="3"/>
      <c r="E4" s="2"/>
      <c r="F4" s="2"/>
      <c r="G4" s="2"/>
      <c r="H4" s="2"/>
    </row>
    <row r="5" spans="2:9" s="17" customFormat="1" ht="13.05" customHeight="1" x14ac:dyDescent="0.3">
      <c r="B5" s="1" t="s">
        <v>8</v>
      </c>
      <c r="C5" s="2"/>
      <c r="D5" s="3"/>
      <c r="E5" s="2"/>
      <c r="F5" s="2"/>
      <c r="G5" s="2"/>
      <c r="H5" s="2"/>
    </row>
    <row r="6" spans="2:9" s="17" customFormat="1" ht="13.05" customHeight="1" x14ac:dyDescent="0.3">
      <c r="B6" s="1" t="s">
        <v>9</v>
      </c>
      <c r="C6" s="2"/>
      <c r="D6" s="3"/>
      <c r="E6" s="2"/>
      <c r="F6" s="2"/>
      <c r="G6" s="2"/>
      <c r="H6" s="2"/>
    </row>
    <row r="7" spans="2:9" s="17" customFormat="1" ht="13.05" customHeight="1" x14ac:dyDescent="0.3">
      <c r="B7" s="1" t="s">
        <v>76</v>
      </c>
      <c r="C7" s="2"/>
      <c r="D7" s="3"/>
      <c r="E7" s="2"/>
      <c r="F7" s="2"/>
      <c r="G7" s="2"/>
      <c r="H7" s="2"/>
    </row>
    <row r="8" spans="2:9" s="17" customFormat="1" ht="13.05" customHeight="1" x14ac:dyDescent="0.3"/>
    <row r="9" spans="2:9" s="17" customFormat="1" ht="13.05" customHeight="1" x14ac:dyDescent="0.3">
      <c r="B9" s="16" t="s">
        <v>10</v>
      </c>
      <c r="C9" s="16"/>
      <c r="D9" s="16" t="s">
        <v>11</v>
      </c>
      <c r="E9" s="16" t="s">
        <v>1</v>
      </c>
      <c r="F9" s="16" t="s">
        <v>2</v>
      </c>
      <c r="G9" s="16" t="s">
        <v>3</v>
      </c>
      <c r="H9" s="16" t="s">
        <v>4</v>
      </c>
      <c r="I9" s="16"/>
    </row>
    <row r="10" spans="2:9" s="17" customFormat="1" ht="13.05" customHeight="1" x14ac:dyDescent="0.3">
      <c r="B10" s="4" t="s">
        <v>12</v>
      </c>
      <c r="D10" s="5">
        <f>E42</f>
        <v>30000000</v>
      </c>
      <c r="E10" s="5">
        <v>10000000</v>
      </c>
      <c r="F10" s="5">
        <v>10000000</v>
      </c>
      <c r="G10" s="5">
        <v>5000000</v>
      </c>
      <c r="H10" s="5">
        <v>5000000</v>
      </c>
      <c r="I10" s="5"/>
    </row>
    <row r="11" spans="2:9" s="17" customFormat="1" ht="13.05" customHeight="1" x14ac:dyDescent="0.3">
      <c r="B11" s="2" t="s">
        <v>13</v>
      </c>
      <c r="D11" s="3">
        <f>SUM(E11:H11)</f>
        <v>8000000</v>
      </c>
      <c r="E11" s="3">
        <v>3000000</v>
      </c>
      <c r="F11" s="3">
        <v>3000000</v>
      </c>
      <c r="G11" s="3">
        <v>1000000</v>
      </c>
      <c r="H11" s="3">
        <v>1000000</v>
      </c>
    </row>
    <row r="12" spans="2:9" s="17" customFormat="1" ht="13.05" customHeight="1" x14ac:dyDescent="0.3">
      <c r="B12" s="18" t="s">
        <v>14</v>
      </c>
      <c r="D12" s="5">
        <f>D10-D11</f>
        <v>22000000</v>
      </c>
      <c r="E12" s="5">
        <f t="shared" ref="E12:H12" si="0">E10-E11</f>
        <v>7000000</v>
      </c>
      <c r="F12" s="5">
        <f t="shared" si="0"/>
        <v>7000000</v>
      </c>
      <c r="G12" s="5">
        <f t="shared" si="0"/>
        <v>4000000</v>
      </c>
      <c r="H12" s="5">
        <f t="shared" si="0"/>
        <v>4000000</v>
      </c>
    </row>
    <row r="13" spans="2:9" s="17" customFormat="1" ht="13.05" customHeight="1" x14ac:dyDescent="0.3">
      <c r="B13" s="2" t="s">
        <v>15</v>
      </c>
      <c r="D13" s="6">
        <f>SUMPRODUCT(E11:H11,E13:H13)/D11</f>
        <v>6.5625000000000003E-2</v>
      </c>
      <c r="E13" s="7">
        <v>6.5000000000000002E-2</v>
      </c>
      <c r="F13" s="7">
        <v>6.5000000000000002E-2</v>
      </c>
      <c r="G13" s="7">
        <v>6.7500000000000004E-2</v>
      </c>
      <c r="H13" s="7">
        <v>6.7500000000000004E-2</v>
      </c>
    </row>
    <row r="14" spans="2:9" s="17" customFormat="1" ht="13.05" customHeight="1" x14ac:dyDescent="0.3">
      <c r="B14" s="2" t="s">
        <v>16</v>
      </c>
      <c r="D14" s="3">
        <f>D11*D13</f>
        <v>525000</v>
      </c>
      <c r="E14" s="3">
        <f>E11*E13</f>
        <v>195000</v>
      </c>
      <c r="F14" s="3">
        <f t="shared" ref="F14:H14" si="1">F11*F13</f>
        <v>195000</v>
      </c>
      <c r="G14" s="3">
        <f t="shared" si="1"/>
        <v>67500</v>
      </c>
      <c r="H14" s="3">
        <f t="shared" si="1"/>
        <v>67500</v>
      </c>
    </row>
    <row r="15" spans="2:9" s="17" customFormat="1" ht="13.05" customHeight="1" x14ac:dyDescent="0.3">
      <c r="B15" s="2" t="s">
        <v>59</v>
      </c>
      <c r="D15" s="3">
        <f>SUM(E15:H15)</f>
        <v>913050</v>
      </c>
      <c r="E15" s="3">
        <v>300000</v>
      </c>
      <c r="F15" s="3">
        <v>313050</v>
      </c>
      <c r="G15" s="3">
        <v>150000</v>
      </c>
      <c r="H15" s="3">
        <v>150000</v>
      </c>
    </row>
    <row r="16" spans="2:9" s="17" customFormat="1" ht="13.05" customHeight="1" x14ac:dyDescent="0.3">
      <c r="B16" s="4" t="s">
        <v>60</v>
      </c>
      <c r="D16" s="5">
        <f>D15-D14</f>
        <v>388050</v>
      </c>
      <c r="E16" s="5">
        <f t="shared" ref="E16:H16" si="2">E15-E14</f>
        <v>105000</v>
      </c>
      <c r="F16" s="5">
        <f t="shared" si="2"/>
        <v>118050</v>
      </c>
      <c r="G16" s="5">
        <f t="shared" si="2"/>
        <v>82500</v>
      </c>
      <c r="H16" s="5">
        <f t="shared" si="2"/>
        <v>82500</v>
      </c>
    </row>
    <row r="17" spans="2:11" s="17" customFormat="1" ht="13.05" customHeight="1" x14ac:dyDescent="0.3">
      <c r="B17" s="4" t="s">
        <v>46</v>
      </c>
      <c r="D17" s="11">
        <f>D16/D12</f>
        <v>1.7638636363636363E-2</v>
      </c>
      <c r="E17" s="11">
        <f>E16/E12</f>
        <v>1.4999999999999999E-2</v>
      </c>
      <c r="F17" s="11">
        <f t="shared" ref="F17:H17" si="3">F16/F12</f>
        <v>1.6864285714285714E-2</v>
      </c>
      <c r="G17" s="11">
        <f t="shared" si="3"/>
        <v>2.0625000000000001E-2</v>
      </c>
      <c r="H17" s="11">
        <f t="shared" si="3"/>
        <v>2.0625000000000001E-2</v>
      </c>
    </row>
    <row r="18" spans="2:11" s="17" customFormat="1" ht="13.05" customHeight="1" x14ac:dyDescent="0.3"/>
    <row r="19" spans="2:11" s="17" customFormat="1" ht="13.05" customHeight="1" x14ac:dyDescent="0.3">
      <c r="B19" s="16" t="s">
        <v>17</v>
      </c>
      <c r="C19" s="16"/>
      <c r="D19" s="16"/>
      <c r="E19" s="16"/>
      <c r="F19" s="16"/>
      <c r="G19" s="16"/>
      <c r="H19" s="16"/>
      <c r="I19" s="16"/>
    </row>
    <row r="20" spans="2:11" s="17" customFormat="1" ht="13.05" customHeight="1" x14ac:dyDescent="0.3">
      <c r="B20" s="19" t="s">
        <v>18</v>
      </c>
      <c r="C20" s="19" t="s">
        <v>19</v>
      </c>
      <c r="D20" s="19" t="s">
        <v>20</v>
      </c>
      <c r="E20" s="19" t="s">
        <v>21</v>
      </c>
      <c r="F20" s="19" t="s">
        <v>22</v>
      </c>
      <c r="G20" s="19" t="s">
        <v>23</v>
      </c>
      <c r="H20" s="19" t="s">
        <v>24</v>
      </c>
      <c r="I20" s="19" t="s">
        <v>25</v>
      </c>
      <c r="J20" s="17" t="s">
        <v>26</v>
      </c>
      <c r="K20" s="17" t="s">
        <v>74</v>
      </c>
    </row>
    <row r="21" spans="2:11" s="17" customFormat="1" ht="13.05" customHeight="1" x14ac:dyDescent="0.3">
      <c r="B21" s="20" t="s">
        <v>27</v>
      </c>
      <c r="C21" s="21">
        <f>SUM(C22:C24)</f>
        <v>6.6666666666666666E-2</v>
      </c>
      <c r="D21" s="22">
        <f>SUM(D22:D24)</f>
        <v>2000000</v>
      </c>
      <c r="E21" s="22">
        <f>SUM(E22:E24)</f>
        <v>2000000</v>
      </c>
      <c r="F21" s="23"/>
      <c r="G21" s="23">
        <f>SUMPRODUCT(D22:D24,G22:G24)/D21</f>
        <v>4.4999999999999998E-2</v>
      </c>
      <c r="H21" s="22">
        <f>D21*G21</f>
        <v>90000</v>
      </c>
      <c r="I21" s="23">
        <f>SUMPRODUCT(E22:E24,I22:I24)/E21</f>
        <v>0.95</v>
      </c>
      <c r="J21" s="23"/>
      <c r="K21" s="23"/>
    </row>
    <row r="22" spans="2:11" s="30" customFormat="1" ht="13.05" customHeight="1" x14ac:dyDescent="0.3">
      <c r="B22" s="24" t="s">
        <v>58</v>
      </c>
      <c r="C22" s="25">
        <f>E22/$E$42</f>
        <v>6.6666666666666666E-2</v>
      </c>
      <c r="D22" s="26">
        <f>E22</f>
        <v>2000000</v>
      </c>
      <c r="E22" s="27">
        <v>2000000</v>
      </c>
      <c r="F22" s="28"/>
      <c r="G22" s="28">
        <v>4.4999999999999998E-2</v>
      </c>
      <c r="H22" s="27">
        <f t="shared" ref="H22:H31" si="4">D22*G22</f>
        <v>90000</v>
      </c>
      <c r="I22" s="29">
        <v>0.95</v>
      </c>
      <c r="J22" s="29"/>
      <c r="K22" s="29"/>
    </row>
    <row r="23" spans="2:11" s="30" customFormat="1" ht="13.05" customHeight="1" x14ac:dyDescent="0.3">
      <c r="B23" s="24" t="s">
        <v>28</v>
      </c>
      <c r="C23" s="25">
        <f>E23/$E$42</f>
        <v>0</v>
      </c>
      <c r="D23" s="31">
        <v>0</v>
      </c>
      <c r="E23" s="27">
        <v>0</v>
      </c>
      <c r="F23" s="32"/>
      <c r="G23" s="32">
        <v>5.2499999999999998E-2</v>
      </c>
      <c r="H23" s="27">
        <f t="shared" si="4"/>
        <v>0</v>
      </c>
      <c r="I23" s="29">
        <v>0.95</v>
      </c>
      <c r="J23" s="29"/>
      <c r="K23" s="29"/>
    </row>
    <row r="24" spans="2:11" s="30" customFormat="1" ht="13.05" customHeight="1" x14ac:dyDescent="0.3">
      <c r="B24" s="24" t="s">
        <v>61</v>
      </c>
      <c r="C24" s="25">
        <f>E24/$E$42</f>
        <v>0</v>
      </c>
      <c r="D24" s="31">
        <v>0</v>
      </c>
      <c r="E24" s="27">
        <v>0</v>
      </c>
      <c r="F24" s="32"/>
      <c r="G24" s="32">
        <v>0.06</v>
      </c>
      <c r="H24" s="27">
        <f t="shared" si="4"/>
        <v>0</v>
      </c>
      <c r="I24" s="33">
        <v>0.9</v>
      </c>
      <c r="J24" s="33"/>
      <c r="K24" s="33"/>
    </row>
    <row r="25" spans="2:11" s="18" customFormat="1" ht="13.05" customHeight="1" x14ac:dyDescent="0.3">
      <c r="B25" s="20" t="s">
        <v>29</v>
      </c>
      <c r="C25" s="21">
        <f>SUM(C26:C30)</f>
        <v>0.24666666666666667</v>
      </c>
      <c r="D25" s="34">
        <f>SUM(D26:D30)</f>
        <v>8200000</v>
      </c>
      <c r="E25" s="35">
        <f>SUM(E26:E30)</f>
        <v>7400000</v>
      </c>
      <c r="F25" s="23"/>
      <c r="G25" s="23">
        <f>SUMPRODUCT(D26:D30,G26:G30)/D25</f>
        <v>5.3536585365853658E-2</v>
      </c>
      <c r="H25" s="22">
        <f t="shared" si="4"/>
        <v>439000</v>
      </c>
      <c r="I25" s="23">
        <f>SUMPRODUCT(E26:E30,I26:I30)/E25</f>
        <v>0.67567567567567566</v>
      </c>
      <c r="J25" s="23"/>
      <c r="K25" s="23"/>
    </row>
    <row r="26" spans="2:11" s="30" customFormat="1" ht="13.05" customHeight="1" x14ac:dyDescent="0.3">
      <c r="B26" s="24" t="s">
        <v>73</v>
      </c>
      <c r="C26" s="25">
        <f>E26/$E$42</f>
        <v>0.16666666666666666</v>
      </c>
      <c r="D26" s="26">
        <v>6000000</v>
      </c>
      <c r="E26" s="27">
        <v>5000000</v>
      </c>
      <c r="F26" s="32">
        <v>5.6000000000000001E-2</v>
      </c>
      <c r="G26" s="32">
        <v>4.7500000000000001E-2</v>
      </c>
      <c r="H26" s="27">
        <f t="shared" si="4"/>
        <v>285000</v>
      </c>
      <c r="I26" s="25">
        <v>0.7</v>
      </c>
      <c r="J26" s="25"/>
      <c r="K26" s="25"/>
    </row>
    <row r="27" spans="2:11" s="30" customFormat="1" ht="13.05" customHeight="1" x14ac:dyDescent="0.3">
      <c r="B27" s="24" t="s">
        <v>30</v>
      </c>
      <c r="C27" s="25">
        <f>E27/$E$42</f>
        <v>6.6666666666666666E-2</v>
      </c>
      <c r="D27" s="26">
        <v>2200000</v>
      </c>
      <c r="E27" s="27">
        <v>2000000</v>
      </c>
      <c r="F27" s="32">
        <v>7.5999999999999998E-2</v>
      </c>
      <c r="G27" s="32">
        <v>7.0000000000000007E-2</v>
      </c>
      <c r="H27" s="27">
        <f t="shared" si="4"/>
        <v>154000.00000000003</v>
      </c>
      <c r="I27" s="25">
        <v>0.6</v>
      </c>
      <c r="J27" s="25"/>
      <c r="K27" s="25"/>
    </row>
    <row r="28" spans="2:11" s="30" customFormat="1" ht="13.05" customHeight="1" x14ac:dyDescent="0.3">
      <c r="B28" s="24" t="s">
        <v>31</v>
      </c>
      <c r="C28" s="25">
        <f>E28/$E$42</f>
        <v>0</v>
      </c>
      <c r="D28" s="31">
        <v>0</v>
      </c>
      <c r="E28" s="27">
        <v>0</v>
      </c>
      <c r="F28" s="29"/>
      <c r="G28" s="29">
        <v>0</v>
      </c>
      <c r="H28" s="27">
        <f>E28*G28</f>
        <v>0</v>
      </c>
      <c r="I28" s="25">
        <v>0.7</v>
      </c>
      <c r="J28" s="25"/>
      <c r="K28" s="25"/>
    </row>
    <row r="29" spans="2:11" s="30" customFormat="1" ht="13.05" customHeight="1" x14ac:dyDescent="0.3">
      <c r="B29" s="24" t="s">
        <v>32</v>
      </c>
      <c r="C29" s="25">
        <f>E29/$E$42</f>
        <v>0</v>
      </c>
      <c r="D29" s="31">
        <v>0</v>
      </c>
      <c r="E29" s="27">
        <v>0</v>
      </c>
      <c r="F29" s="29"/>
      <c r="G29" s="29">
        <v>0</v>
      </c>
      <c r="H29" s="27">
        <f t="shared" si="4"/>
        <v>0</v>
      </c>
      <c r="I29" s="25">
        <v>0.6</v>
      </c>
      <c r="J29" s="25"/>
      <c r="K29" s="25"/>
    </row>
    <row r="30" spans="2:11" s="30" customFormat="1" ht="13.05" customHeight="1" x14ac:dyDescent="0.3">
      <c r="B30" s="24" t="s">
        <v>33</v>
      </c>
      <c r="C30" s="25">
        <f>E30/$E$42</f>
        <v>1.3333333333333334E-2</v>
      </c>
      <c r="D30" s="26">
        <f>'[1]Fixed Income'!F32</f>
        <v>0</v>
      </c>
      <c r="E30" s="27">
        <v>400000</v>
      </c>
      <c r="F30" s="32"/>
      <c r="G30" s="32">
        <v>7.3099999999999998E-2</v>
      </c>
      <c r="H30" s="27">
        <f t="shared" si="4"/>
        <v>0</v>
      </c>
      <c r="I30" s="25">
        <v>0.75</v>
      </c>
      <c r="J30" s="25"/>
      <c r="K30" s="25"/>
    </row>
    <row r="31" spans="2:11" s="18" customFormat="1" ht="13.05" customHeight="1" x14ac:dyDescent="0.3">
      <c r="B31" s="20" t="s">
        <v>34</v>
      </c>
      <c r="C31" s="21">
        <f>SUM(C32:C35)</f>
        <v>0.45333333333333337</v>
      </c>
      <c r="D31" s="35">
        <f>SUM(D32:D35)</f>
        <v>14000000</v>
      </c>
      <c r="E31" s="35">
        <f>SUM(E32:E35)</f>
        <v>13600000</v>
      </c>
      <c r="F31" s="23"/>
      <c r="G31" s="23">
        <f>SUMPRODUCT(D32:D35,G32:G35)/D31</f>
        <v>2.4821428571428571E-2</v>
      </c>
      <c r="H31" s="22">
        <f t="shared" si="4"/>
        <v>347500</v>
      </c>
      <c r="I31" s="23">
        <f>SUMPRODUCT(E32:E35,I32:I35)/E31</f>
        <v>0.75147058823529411</v>
      </c>
      <c r="J31" s="23"/>
      <c r="K31" s="23"/>
    </row>
    <row r="32" spans="2:11" s="30" customFormat="1" ht="13.05" customHeight="1" x14ac:dyDescent="0.3">
      <c r="B32" s="24" t="s">
        <v>35</v>
      </c>
      <c r="C32" s="25">
        <f>E32/$E$42</f>
        <v>0.23333333333333334</v>
      </c>
      <c r="D32" s="26">
        <f>E32</f>
        <v>7000000</v>
      </c>
      <c r="E32" s="27">
        <v>7000000</v>
      </c>
      <c r="G32" s="32">
        <v>1.4999999999999999E-2</v>
      </c>
      <c r="H32" s="27">
        <f>E32*G32</f>
        <v>105000</v>
      </c>
      <c r="I32" s="29">
        <v>0.8</v>
      </c>
      <c r="J32" s="29"/>
      <c r="K32" s="29"/>
    </row>
    <row r="33" spans="2:11" s="30" customFormat="1" ht="13.05" customHeight="1" x14ac:dyDescent="0.3">
      <c r="B33" s="24" t="s">
        <v>36</v>
      </c>
      <c r="C33" s="25">
        <f>E33/$E$42</f>
        <v>0.16666666666666666</v>
      </c>
      <c r="D33" s="26">
        <f>E33</f>
        <v>5000000</v>
      </c>
      <c r="E33" s="27">
        <v>5000000</v>
      </c>
      <c r="G33" s="28">
        <v>1.2500000000000001E-2</v>
      </c>
      <c r="H33" s="27">
        <f>E33*G33</f>
        <v>62500</v>
      </c>
      <c r="I33" s="29">
        <v>0.7</v>
      </c>
      <c r="J33" s="29"/>
      <c r="K33" s="29"/>
    </row>
    <row r="34" spans="2:11" s="30" customFormat="1" ht="13.05" customHeight="1" x14ac:dyDescent="0.3">
      <c r="B34" s="24" t="s">
        <v>37</v>
      </c>
      <c r="C34" s="25">
        <f>E34/$E$42</f>
        <v>0</v>
      </c>
      <c r="D34" s="31">
        <v>0</v>
      </c>
      <c r="E34" s="27">
        <v>0</v>
      </c>
      <c r="G34" s="36">
        <v>0</v>
      </c>
      <c r="H34" s="27">
        <f>E34*G34</f>
        <v>0</v>
      </c>
      <c r="I34" s="29">
        <v>0.7</v>
      </c>
      <c r="J34" s="29"/>
      <c r="K34" s="29"/>
    </row>
    <row r="35" spans="2:11" s="30" customFormat="1" ht="13.05" customHeight="1" x14ac:dyDescent="0.3">
      <c r="B35" s="24" t="s">
        <v>38</v>
      </c>
      <c r="C35" s="25">
        <f>E35/$E$42</f>
        <v>5.3333333333333337E-2</v>
      </c>
      <c r="D35" s="31">
        <v>2000000</v>
      </c>
      <c r="E35" s="27">
        <v>1600000</v>
      </c>
      <c r="G35" s="36">
        <v>0.09</v>
      </c>
      <c r="H35" s="27">
        <f>D35*G35</f>
        <v>180000</v>
      </c>
      <c r="I35" s="29">
        <v>0.7</v>
      </c>
      <c r="J35" s="29"/>
      <c r="K35" s="29"/>
    </row>
    <row r="36" spans="2:11" s="30" customFormat="1" ht="13.05" customHeight="1" x14ac:dyDescent="0.3">
      <c r="B36" s="20" t="s">
        <v>39</v>
      </c>
      <c r="C36" s="21">
        <f>SUM(C37:C41)</f>
        <v>0.23333333333333331</v>
      </c>
      <c r="D36" s="35">
        <f>SUM(D37:D41)</f>
        <v>7000000</v>
      </c>
      <c r="E36" s="35">
        <f>SUM(E37:E41)</f>
        <v>7000000</v>
      </c>
      <c r="F36" s="23"/>
      <c r="G36" s="23">
        <f>SUMPRODUCT(D37:D41,G37:G41)/D36</f>
        <v>0</v>
      </c>
      <c r="H36" s="22">
        <f t="shared" ref="H36" si="5">D36*G36</f>
        <v>0</v>
      </c>
      <c r="I36" s="23">
        <f>SUMPRODUCT(E37:E41,I37:I41)/E36</f>
        <v>3.5714285714285712E-2</v>
      </c>
      <c r="J36" s="23"/>
      <c r="K36" s="23"/>
    </row>
    <row r="37" spans="2:11" s="30" customFormat="1" ht="13.05" customHeight="1" x14ac:dyDescent="0.3">
      <c r="B37" s="24" t="s">
        <v>40</v>
      </c>
      <c r="C37" s="25">
        <f t="shared" ref="C37:C41" si="6">E37/$E$42</f>
        <v>3.3333333333333333E-2</v>
      </c>
      <c r="D37" s="37">
        <f>E37</f>
        <v>1000000</v>
      </c>
      <c r="E37" s="27">
        <v>1000000</v>
      </c>
      <c r="F37" s="36"/>
      <c r="G37" s="36">
        <v>0</v>
      </c>
      <c r="H37" s="27">
        <f>D37*G37</f>
        <v>0</v>
      </c>
      <c r="I37" s="29">
        <v>0.25</v>
      </c>
      <c r="J37" s="29"/>
      <c r="K37" s="29"/>
    </row>
    <row r="38" spans="2:11" s="30" customFormat="1" ht="13.05" customHeight="1" x14ac:dyDescent="0.3">
      <c r="B38" s="24" t="s">
        <v>41</v>
      </c>
      <c r="C38" s="25">
        <f t="shared" si="6"/>
        <v>0</v>
      </c>
      <c r="D38" s="31">
        <v>0</v>
      </c>
      <c r="E38" s="27">
        <v>0</v>
      </c>
      <c r="F38" s="32"/>
      <c r="G38" s="32">
        <v>8.5000000000000006E-2</v>
      </c>
      <c r="H38" s="27">
        <f t="shared" ref="H38:H41" si="7">D38*G38</f>
        <v>0</v>
      </c>
      <c r="I38" s="29">
        <v>0.25</v>
      </c>
      <c r="J38" s="29"/>
      <c r="K38" s="29"/>
    </row>
    <row r="39" spans="2:11" s="30" customFormat="1" ht="13.05" customHeight="1" x14ac:dyDescent="0.3">
      <c r="B39" s="24" t="s">
        <v>42</v>
      </c>
      <c r="C39" s="25">
        <f t="shared" si="6"/>
        <v>0.16666666666666666</v>
      </c>
      <c r="D39" s="37">
        <f>E39</f>
        <v>5000000</v>
      </c>
      <c r="E39" s="27">
        <v>5000000</v>
      </c>
      <c r="F39" s="36"/>
      <c r="G39" s="36">
        <v>0</v>
      </c>
      <c r="H39" s="27">
        <f t="shared" si="7"/>
        <v>0</v>
      </c>
      <c r="I39" s="29">
        <v>0</v>
      </c>
      <c r="J39" s="29"/>
      <c r="K39" s="29"/>
    </row>
    <row r="40" spans="2:11" s="30" customFormat="1" ht="13.05" customHeight="1" x14ac:dyDescent="0.3">
      <c r="B40" s="24" t="s">
        <v>43</v>
      </c>
      <c r="C40" s="25">
        <f t="shared" si="6"/>
        <v>3.3333333333333333E-2</v>
      </c>
      <c r="D40" s="37">
        <f>E40</f>
        <v>1000000</v>
      </c>
      <c r="E40" s="27">
        <v>1000000</v>
      </c>
      <c r="F40" s="36"/>
      <c r="G40" s="36">
        <v>0</v>
      </c>
      <c r="H40" s="27">
        <f t="shared" si="7"/>
        <v>0</v>
      </c>
      <c r="I40" s="29">
        <v>0</v>
      </c>
      <c r="J40" s="29"/>
      <c r="K40" s="29"/>
    </row>
    <row r="41" spans="2:11" s="30" customFormat="1" ht="13.05" customHeight="1" x14ac:dyDescent="0.3">
      <c r="B41" s="38" t="s">
        <v>44</v>
      </c>
      <c r="C41" s="39">
        <f t="shared" si="6"/>
        <v>0</v>
      </c>
      <c r="D41" s="40">
        <f>E41</f>
        <v>0</v>
      </c>
      <c r="E41" s="41">
        <v>0</v>
      </c>
      <c r="F41" s="39"/>
      <c r="G41" s="39">
        <v>0.06</v>
      </c>
      <c r="H41" s="41">
        <f t="shared" si="7"/>
        <v>0</v>
      </c>
      <c r="I41" s="33">
        <v>0</v>
      </c>
      <c r="J41" s="33"/>
      <c r="K41" s="33"/>
    </row>
    <row r="42" spans="2:11" s="17" customFormat="1" ht="13.05" customHeight="1" thickBot="1" x14ac:dyDescent="0.35">
      <c r="B42" s="42" t="s">
        <v>45</v>
      </c>
      <c r="C42" s="43">
        <f>C36+C31+C25+C21</f>
        <v>1</v>
      </c>
      <c r="D42" s="44">
        <f>D21+D25+D31+D36</f>
        <v>31200000</v>
      </c>
      <c r="E42" s="44">
        <f>E21+E25+E31+E36</f>
        <v>30000000</v>
      </c>
      <c r="F42" s="45"/>
      <c r="G42" s="46">
        <f>(D21*G21+D25*G25+D31*G31+D36*G36)/D42</f>
        <v>2.8092948717948717E-2</v>
      </c>
      <c r="H42" s="44">
        <f>H21+H25+H31+H36</f>
        <v>876500</v>
      </c>
      <c r="I42" s="46">
        <f>(E21*I21+E25*I25+E31*I31+E36*I36)/E42</f>
        <v>0.57899999999999996</v>
      </c>
      <c r="J42" s="46"/>
      <c r="K42" s="46"/>
    </row>
    <row r="43" spans="2:11" s="17" customFormat="1" ht="13.05" customHeight="1" thickTop="1" x14ac:dyDescent="0.3">
      <c r="B43" s="47"/>
      <c r="C43" s="48"/>
      <c r="D43" s="49"/>
      <c r="E43" s="49"/>
      <c r="F43" s="50"/>
      <c r="G43" s="51"/>
      <c r="H43" s="49"/>
      <c r="I43" s="51"/>
    </row>
    <row r="44" spans="2:11" s="17" customFormat="1" ht="13.05" customHeight="1" x14ac:dyDescent="0.3">
      <c r="B44" s="8" t="s">
        <v>47</v>
      </c>
      <c r="C44" s="8"/>
      <c r="D44" s="8"/>
      <c r="E44" s="8"/>
      <c r="F44" s="8"/>
      <c r="G44" s="8"/>
      <c r="H44" s="8" t="s">
        <v>48</v>
      </c>
      <c r="I44" s="8" t="s">
        <v>49</v>
      </c>
    </row>
    <row r="45" spans="2:11" s="17" customFormat="1" ht="13.05" customHeight="1" x14ac:dyDescent="0.3">
      <c r="B45" s="2" t="s">
        <v>75</v>
      </c>
      <c r="C45" s="2"/>
      <c r="D45" s="2"/>
      <c r="E45" s="2"/>
      <c r="F45" s="2"/>
      <c r="G45" s="2"/>
      <c r="H45" s="13">
        <v>3.6999999999999998E-2</v>
      </c>
      <c r="I45" s="6"/>
    </row>
    <row r="46" spans="2:11" s="17" customFormat="1" ht="13.05" customHeight="1" x14ac:dyDescent="0.3">
      <c r="B46" s="2" t="s">
        <v>50</v>
      </c>
      <c r="C46" s="2"/>
      <c r="D46" s="2"/>
      <c r="E46" s="2"/>
      <c r="F46" s="2"/>
      <c r="G46" s="2"/>
      <c r="H46" s="9">
        <v>0.08</v>
      </c>
      <c r="I46" s="6">
        <v>0.2</v>
      </c>
    </row>
    <row r="47" spans="2:11" s="17" customFormat="1" ht="13.05" customHeight="1" x14ac:dyDescent="0.3">
      <c r="B47" s="2" t="s">
        <v>51</v>
      </c>
      <c r="C47" s="2"/>
      <c r="D47" s="2"/>
      <c r="E47" s="2"/>
      <c r="F47" s="2"/>
      <c r="G47" s="2"/>
      <c r="H47" s="6">
        <f>D11/D10</f>
        <v>0.26666666666666666</v>
      </c>
      <c r="I47" s="6">
        <v>0.5</v>
      </c>
      <c r="J47" s="52"/>
    </row>
    <row r="48" spans="2:11" s="17" customFormat="1" ht="13.05" customHeight="1" x14ac:dyDescent="0.3">
      <c r="B48" s="2" t="s">
        <v>52</v>
      </c>
      <c r="C48" s="2"/>
      <c r="D48" s="2"/>
      <c r="E48" s="2"/>
      <c r="F48" s="2"/>
      <c r="G48" s="2"/>
      <c r="H48" s="6">
        <f>I42</f>
        <v>0.57899999999999996</v>
      </c>
      <c r="I48" s="6"/>
      <c r="J48" s="52"/>
    </row>
    <row r="49" spans="2:10" s="17" customFormat="1" ht="13.05" customHeight="1" x14ac:dyDescent="0.3">
      <c r="B49" s="2" t="s">
        <v>53</v>
      </c>
      <c r="C49" s="2"/>
      <c r="D49" s="2"/>
      <c r="E49" s="2"/>
      <c r="F49" s="2"/>
      <c r="G49" s="2"/>
      <c r="H49" s="6">
        <f>H48-H47</f>
        <v>0.3123333333333333</v>
      </c>
      <c r="I49" s="6">
        <v>0.15</v>
      </c>
    </row>
    <row r="50" spans="2:10" s="17" customFormat="1" ht="13.05" customHeight="1" x14ac:dyDescent="0.3">
      <c r="B50" s="14" t="s">
        <v>54</v>
      </c>
      <c r="C50" s="14"/>
      <c r="D50" s="14"/>
      <c r="E50" s="14"/>
      <c r="F50" s="14"/>
      <c r="G50" s="14"/>
      <c r="H50" s="6">
        <f>C27+C29+C30+C35+C38+C39+C40</f>
        <v>0.33333333333333331</v>
      </c>
      <c r="I50" s="6">
        <v>0.4</v>
      </c>
    </row>
    <row r="51" spans="2:10" s="17" customFormat="1" ht="13.05" customHeight="1" x14ac:dyDescent="0.3">
      <c r="B51" s="8" t="s">
        <v>55</v>
      </c>
      <c r="C51" s="10">
        <v>-0.1</v>
      </c>
      <c r="D51" s="8"/>
      <c r="E51" s="8"/>
      <c r="F51" s="8"/>
      <c r="G51" s="8"/>
      <c r="H51" s="8" t="s">
        <v>48</v>
      </c>
      <c r="I51" s="8" t="s">
        <v>49</v>
      </c>
    </row>
    <row r="52" spans="2:10" s="17" customFormat="1" ht="13.05" customHeight="1" x14ac:dyDescent="0.3">
      <c r="B52" s="2" t="s">
        <v>51</v>
      </c>
      <c r="C52" s="9"/>
      <c r="D52" s="2"/>
      <c r="E52" s="2"/>
      <c r="F52" s="2"/>
      <c r="G52" s="2"/>
      <c r="H52" s="6">
        <f>D11/(D10*(1+C51))</f>
        <v>0.29629629629629628</v>
      </c>
      <c r="I52" s="6">
        <f>I47</f>
        <v>0.5</v>
      </c>
    </row>
    <row r="53" spans="2:10" s="17" customFormat="1" ht="13.05" customHeight="1" x14ac:dyDescent="0.3">
      <c r="B53" s="2" t="s">
        <v>53</v>
      </c>
      <c r="C53" s="2"/>
      <c r="D53" s="2"/>
      <c r="E53" s="2"/>
      <c r="F53" s="2"/>
      <c r="G53" s="2"/>
      <c r="H53" s="6">
        <f>H48-H52</f>
        <v>0.28270370370370368</v>
      </c>
      <c r="I53" s="6">
        <f>I49</f>
        <v>0.15</v>
      </c>
    </row>
    <row r="54" spans="2:10" s="17" customFormat="1" ht="13.05" customHeight="1" x14ac:dyDescent="0.3">
      <c r="B54" s="14" t="s">
        <v>56</v>
      </c>
      <c r="C54" s="14"/>
      <c r="D54" s="2"/>
      <c r="E54" s="2"/>
      <c r="F54" s="2"/>
      <c r="G54" s="2"/>
      <c r="H54" s="2"/>
      <c r="I54" s="11"/>
    </row>
    <row r="55" spans="2:10" s="17" customFormat="1" ht="13.05" customHeight="1" x14ac:dyDescent="0.3">
      <c r="D55" s="2"/>
      <c r="E55" s="2"/>
      <c r="F55" s="2"/>
      <c r="G55" s="2"/>
      <c r="H55" s="2"/>
      <c r="I55" s="12"/>
      <c r="J55" s="53"/>
    </row>
    <row r="56" spans="2:10" s="17" customFormat="1" ht="13.05" customHeight="1" x14ac:dyDescent="0.3">
      <c r="B56" s="47" t="s">
        <v>77</v>
      </c>
      <c r="C56" s="48"/>
      <c r="D56" s="53"/>
      <c r="E56" s="49"/>
      <c r="F56" s="54"/>
      <c r="G56" s="54"/>
      <c r="H56" s="49"/>
      <c r="I56" s="49"/>
      <c r="J56" s="53"/>
    </row>
    <row r="57" spans="2:10" s="17" customFormat="1" ht="13.05" customHeight="1" x14ac:dyDescent="0.3">
      <c r="B57" s="16" t="s">
        <v>78</v>
      </c>
      <c r="C57" s="48" t="s">
        <v>79</v>
      </c>
      <c r="D57" s="47" t="s">
        <v>80</v>
      </c>
      <c r="E57" s="49" t="s">
        <v>81</v>
      </c>
      <c r="F57" s="54" t="s">
        <v>82</v>
      </c>
      <c r="G57" s="54" t="s">
        <v>83</v>
      </c>
      <c r="I57" s="49"/>
      <c r="J57" s="53"/>
    </row>
    <row r="58" spans="2:10" s="17" customFormat="1" ht="13.05" customHeight="1" x14ac:dyDescent="0.3">
      <c r="B58" s="47" t="s">
        <v>84</v>
      </c>
      <c r="C58" s="48"/>
      <c r="D58" s="53"/>
      <c r="E58" s="49"/>
      <c r="F58" s="54"/>
      <c r="G58" s="54"/>
      <c r="H58" s="49"/>
      <c r="I58" s="49"/>
      <c r="J58" s="53"/>
    </row>
    <row r="59" spans="2:10" s="17" customFormat="1" ht="13.05" customHeight="1" x14ac:dyDescent="0.3">
      <c r="B59" s="47" t="s">
        <v>85</v>
      </c>
      <c r="C59" s="48"/>
      <c r="D59" s="53"/>
      <c r="E59" s="49"/>
      <c r="F59" s="54"/>
      <c r="G59" s="54"/>
      <c r="H59" s="49">
        <f>SUM(C59:G59)</f>
        <v>0</v>
      </c>
      <c r="I59" s="49"/>
      <c r="J59" s="53"/>
    </row>
    <row r="60" spans="2:10" s="17" customFormat="1" ht="13.05" customHeight="1" x14ac:dyDescent="0.3">
      <c r="B60" s="47"/>
      <c r="C60" s="48"/>
      <c r="D60" s="53"/>
      <c r="E60" s="55"/>
      <c r="F60" s="55"/>
      <c r="G60" s="55"/>
      <c r="H60" s="56"/>
      <c r="I60" s="56"/>
      <c r="J60" s="55"/>
    </row>
    <row r="61" spans="2:10" s="17" customFormat="1" ht="13.05" customHeight="1" x14ac:dyDescent="0.3">
      <c r="B61" s="47" t="s">
        <v>86</v>
      </c>
      <c r="C61" s="48"/>
      <c r="D61" s="53"/>
      <c r="E61" s="55"/>
      <c r="F61" s="55"/>
      <c r="G61" s="55"/>
      <c r="H61" s="55"/>
      <c r="I61" s="55"/>
      <c r="J61" s="55"/>
    </row>
    <row r="62" spans="2:10" s="17" customFormat="1" ht="13.05" customHeight="1" x14ac:dyDescent="0.3">
      <c r="B62" s="47" t="s">
        <v>87</v>
      </c>
      <c r="C62" s="48"/>
      <c r="D62" s="53"/>
      <c r="E62" s="55"/>
      <c r="F62" s="55"/>
      <c r="G62" s="55"/>
      <c r="H62" s="55"/>
      <c r="I62" s="55"/>
      <c r="J62" s="55"/>
    </row>
    <row r="63" spans="2:10" s="17" customFormat="1" ht="13.05" customHeight="1" x14ac:dyDescent="0.3">
      <c r="B63" s="47"/>
      <c r="C63" s="48"/>
      <c r="D63" s="53"/>
      <c r="E63" s="55"/>
      <c r="F63" s="55"/>
      <c r="G63" s="55"/>
      <c r="H63" s="55"/>
      <c r="I63" s="55"/>
      <c r="J63" s="55"/>
    </row>
    <row r="64" spans="2:10" s="17" customFormat="1" ht="13.05" customHeight="1" x14ac:dyDescent="0.3">
      <c r="B64" s="16" t="s">
        <v>62</v>
      </c>
      <c r="C64" s="48"/>
      <c r="D64" s="47" t="s">
        <v>71</v>
      </c>
      <c r="E64" s="55"/>
      <c r="F64" s="55"/>
      <c r="G64" s="55"/>
      <c r="H64" s="55"/>
      <c r="I64" s="55"/>
      <c r="J64" s="55"/>
    </row>
    <row r="65" spans="2:10" s="17" customFormat="1" ht="13.05" customHeight="1" x14ac:dyDescent="0.3">
      <c r="B65" s="53" t="s">
        <v>67</v>
      </c>
      <c r="C65" s="57">
        <v>3.8</v>
      </c>
      <c r="D65" s="58" t="s">
        <v>57</v>
      </c>
      <c r="E65" s="58"/>
      <c r="F65" s="59"/>
      <c r="G65" s="59"/>
      <c r="H65" s="59"/>
      <c r="I65" s="59"/>
      <c r="J65" s="60"/>
    </row>
    <row r="66" spans="2:10" s="17" customFormat="1" ht="13.05" customHeight="1" x14ac:dyDescent="0.3">
      <c r="B66" s="53" t="s">
        <v>68</v>
      </c>
      <c r="C66" s="27" t="s">
        <v>69</v>
      </c>
      <c r="D66" s="58" t="s">
        <v>65</v>
      </c>
      <c r="E66" s="58"/>
    </row>
    <row r="67" spans="2:10" s="17" customFormat="1" ht="13.05" customHeight="1" x14ac:dyDescent="0.3">
      <c r="B67" s="53" t="s">
        <v>70</v>
      </c>
      <c r="C67" s="61">
        <v>6.5000000000000002E-2</v>
      </c>
      <c r="D67" s="58" t="s">
        <v>66</v>
      </c>
      <c r="E67" s="58"/>
    </row>
    <row r="68" spans="2:10" s="17" customFormat="1" ht="13.05" customHeight="1" x14ac:dyDescent="0.3">
      <c r="D68" s="58" t="s">
        <v>64</v>
      </c>
      <c r="E68" s="58"/>
    </row>
    <row r="69" spans="2:10" s="17" customFormat="1" ht="13.05" customHeight="1" x14ac:dyDescent="0.3"/>
    <row r="70" spans="2:10" s="17" customFormat="1" ht="13.05" customHeight="1" x14ac:dyDescent="0.3"/>
    <row r="71" spans="2:10" s="17" customFormat="1" ht="13.05" customHeight="1" x14ac:dyDescent="0.3">
      <c r="B71" s="16" t="s">
        <v>63</v>
      </c>
      <c r="D71" s="47" t="s">
        <v>71</v>
      </c>
    </row>
    <row r="72" spans="2:10" s="17" customFormat="1" ht="13.05" customHeight="1" x14ac:dyDescent="0.3">
      <c r="B72" s="53" t="s">
        <v>72</v>
      </c>
      <c r="C72" s="61">
        <v>1.4999999999999999E-2</v>
      </c>
      <c r="D72" s="53" t="s">
        <v>57</v>
      </c>
    </row>
    <row r="73" spans="2:10" s="17" customFormat="1" ht="13.05" customHeight="1" x14ac:dyDescent="0.3">
      <c r="D73" s="53" t="s">
        <v>64</v>
      </c>
    </row>
    <row r="74" spans="2:10" s="17" customFormat="1" ht="13.05" customHeight="1" x14ac:dyDescent="0.3">
      <c r="B74" s="47"/>
    </row>
    <row r="75" spans="2:10" s="17" customFormat="1" ht="13.05" customHeight="1" x14ac:dyDescent="0.3"/>
    <row r="76" spans="2:10" s="17" customFormat="1" ht="13.05" customHeight="1" x14ac:dyDescent="0.3"/>
    <row r="77" spans="2:10" s="17" customFormat="1" ht="13.05" customHeight="1" x14ac:dyDescent="0.3"/>
    <row r="78" spans="2:10" s="17" customFormat="1" ht="13.05" customHeight="1" x14ac:dyDescent="0.3"/>
    <row r="79" spans="2:10" s="17" customFormat="1" ht="13.05" customHeight="1" x14ac:dyDescent="0.3"/>
    <row r="80" spans="2:10" s="17" customFormat="1" ht="13.05" customHeight="1" x14ac:dyDescent="0.3"/>
    <row r="81" s="17" customFormat="1" ht="13.05" customHeight="1" x14ac:dyDescent="0.3"/>
    <row r="82" s="17" customFormat="1" ht="13.05" customHeight="1" x14ac:dyDescent="0.3"/>
    <row r="83" s="17" customFormat="1" ht="13.05" customHeight="1" x14ac:dyDescent="0.3"/>
    <row r="84" s="17" customFormat="1" ht="13.05" customHeight="1" x14ac:dyDescent="0.3"/>
    <row r="85" s="17" customFormat="1" ht="13.05" customHeight="1" x14ac:dyDescent="0.3"/>
    <row r="86" s="17" customFormat="1" ht="13.05" customHeight="1" x14ac:dyDescent="0.3"/>
    <row r="87" s="17" customFormat="1" ht="13.05" customHeight="1" x14ac:dyDescent="0.3"/>
    <row r="88" s="17" customFormat="1" ht="13.05" customHeight="1" x14ac:dyDescent="0.3"/>
    <row r="89" s="17" customFormat="1" ht="13.05" customHeight="1" x14ac:dyDescent="0.3"/>
    <row r="90" s="17" customFormat="1" ht="13.05" customHeight="1" x14ac:dyDescent="0.3"/>
    <row r="91" s="17" customFormat="1" ht="13.05" customHeight="1" x14ac:dyDescent="0.3"/>
    <row r="92" s="17" customFormat="1" ht="13.05" customHeight="1" x14ac:dyDescent="0.3"/>
    <row r="93" s="17" customFormat="1" ht="13.05" customHeight="1" x14ac:dyDescent="0.3"/>
    <row r="94" s="17" customFormat="1" ht="13.05" customHeight="1" x14ac:dyDescent="0.3"/>
    <row r="95" s="17" customFormat="1" ht="13.05" customHeight="1" x14ac:dyDescent="0.3"/>
    <row r="96" s="17" customFormat="1" ht="13.05" customHeight="1" x14ac:dyDescent="0.3"/>
    <row r="97" s="17" customFormat="1" ht="13.05" customHeight="1" x14ac:dyDescent="0.3"/>
    <row r="98" s="17" customFormat="1" ht="13.05" customHeight="1" x14ac:dyDescent="0.3"/>
    <row r="99" s="17" customFormat="1" ht="13.05" customHeight="1" x14ac:dyDescent="0.3"/>
    <row r="100" s="17" customFormat="1" ht="13.05" customHeight="1" x14ac:dyDescent="0.3"/>
    <row r="101" s="17" customFormat="1" ht="13.05" customHeight="1" x14ac:dyDescent="0.3"/>
    <row r="102" s="17" customFormat="1" ht="13.05" customHeight="1" x14ac:dyDescent="0.3"/>
    <row r="103" s="17" customFormat="1" ht="13.05" customHeight="1" x14ac:dyDescent="0.3"/>
    <row r="104" s="17" customFormat="1" ht="13.05" customHeight="1" x14ac:dyDescent="0.3"/>
    <row r="105" s="17" customFormat="1" ht="13.05" customHeight="1" x14ac:dyDescent="0.3"/>
    <row r="106" s="17" customFormat="1" ht="13.05" customHeight="1" x14ac:dyDescent="0.3"/>
    <row r="107" s="17" customFormat="1" ht="13.05" customHeight="1" x14ac:dyDescent="0.3"/>
    <row r="108" s="17" customFormat="1" ht="13.05" customHeight="1" x14ac:dyDescent="0.3"/>
    <row r="109" s="17" customFormat="1" ht="13.05" customHeight="1" x14ac:dyDescent="0.3"/>
    <row r="110" s="17" customFormat="1" ht="13.05" customHeight="1" x14ac:dyDescent="0.3"/>
    <row r="111" s="17" customFormat="1" ht="13.05" customHeight="1" x14ac:dyDescent="0.3"/>
    <row r="112" s="17" customFormat="1" ht="13.05" customHeight="1" x14ac:dyDescent="0.3"/>
    <row r="113" s="17" customFormat="1" ht="13.05" customHeight="1" x14ac:dyDescent="0.3"/>
    <row r="114" s="17" customFormat="1" ht="13.05" customHeight="1" x14ac:dyDescent="0.3"/>
    <row r="115" s="17" customFormat="1" ht="13.05" customHeight="1" x14ac:dyDescent="0.3"/>
    <row r="116" s="17" customFormat="1" ht="13.05" customHeight="1" x14ac:dyDescent="0.3"/>
    <row r="117" s="17" customFormat="1" ht="13.05" customHeight="1" x14ac:dyDescent="0.3"/>
    <row r="118" s="17" customFormat="1" ht="13.05" customHeight="1" x14ac:dyDescent="0.3"/>
    <row r="119" s="17" customFormat="1" ht="13.05" customHeight="1" x14ac:dyDescent="0.3"/>
    <row r="120" s="17" customFormat="1" ht="13.05" customHeight="1" x14ac:dyDescent="0.3"/>
    <row r="121" s="17" customFormat="1" ht="13.05" customHeight="1" x14ac:dyDescent="0.3"/>
    <row r="122" s="17" customFormat="1" ht="13.05" customHeight="1" x14ac:dyDescent="0.3"/>
    <row r="123" s="17" customFormat="1" ht="13.05" customHeight="1" x14ac:dyDescent="0.3"/>
    <row r="124" s="17" customFormat="1" ht="13.05" customHeight="1" x14ac:dyDescent="0.3"/>
    <row r="125" s="17" customFormat="1" ht="13.05" customHeight="1" x14ac:dyDescent="0.3"/>
    <row r="126" s="17" customFormat="1" ht="13.05" customHeight="1" x14ac:dyDescent="0.3"/>
    <row r="127" s="17" customFormat="1" ht="13.05" customHeight="1" x14ac:dyDescent="0.3"/>
    <row r="128" s="17" customFormat="1" ht="13.05" customHeight="1" x14ac:dyDescent="0.3"/>
    <row r="129" s="17" customFormat="1" ht="13.05" customHeight="1" x14ac:dyDescent="0.3"/>
    <row r="130" s="17" customFormat="1" ht="13.05" customHeight="1" x14ac:dyDescent="0.3"/>
    <row r="131" s="17" customFormat="1" ht="13.05" customHeight="1" x14ac:dyDescent="0.3"/>
    <row r="132" s="17" customFormat="1" ht="13.05" customHeight="1" x14ac:dyDescent="0.3"/>
    <row r="133" s="17" customFormat="1" ht="13.05" customHeight="1" x14ac:dyDescent="0.3"/>
    <row r="134" s="17" customFormat="1" ht="13.05" customHeight="1" x14ac:dyDescent="0.3"/>
    <row r="135" s="17" customFormat="1" ht="13.05" customHeight="1" x14ac:dyDescent="0.3"/>
    <row r="136" s="17" customFormat="1" ht="13.05" customHeight="1" x14ac:dyDescent="0.3"/>
    <row r="137" s="17" customFormat="1" ht="13.05" customHeight="1" x14ac:dyDescent="0.3"/>
    <row r="138" s="17" customFormat="1" ht="13.05" customHeight="1" x14ac:dyDescent="0.3"/>
    <row r="139" s="17" customFormat="1" ht="13.05" customHeight="1" x14ac:dyDescent="0.3"/>
    <row r="140" s="17" customFormat="1" ht="13.05" customHeight="1" x14ac:dyDescent="0.3"/>
    <row r="141" s="17" customFormat="1" ht="13.05" customHeight="1" x14ac:dyDescent="0.3"/>
    <row r="142" s="17" customFormat="1" ht="13.05" customHeight="1" x14ac:dyDescent="0.3"/>
    <row r="143" s="17" customFormat="1" ht="13.05" customHeight="1" x14ac:dyDescent="0.3"/>
    <row r="144" s="17" customFormat="1" ht="13.05" customHeight="1" x14ac:dyDescent="0.3"/>
    <row r="145" s="17" customFormat="1" ht="13.05" customHeight="1" x14ac:dyDescent="0.3"/>
    <row r="146" s="17" customFormat="1" ht="13.05" customHeight="1" x14ac:dyDescent="0.3"/>
    <row r="147" s="17" customFormat="1" ht="13.05" customHeight="1" x14ac:dyDescent="0.3"/>
    <row r="148" s="17" customFormat="1" ht="13.05" customHeight="1" x14ac:dyDescent="0.3"/>
    <row r="149" s="17" customFormat="1" ht="13.05" customHeight="1" x14ac:dyDescent="0.3"/>
    <row r="150" s="17" customFormat="1" ht="13.05" customHeight="1" x14ac:dyDescent="0.3"/>
    <row r="151" s="17" customFormat="1" ht="13.05" customHeight="1" x14ac:dyDescent="0.3"/>
    <row r="152" s="17" customFormat="1" ht="13.05" customHeight="1" x14ac:dyDescent="0.3"/>
    <row r="153" s="17" customFormat="1" ht="13.05" customHeight="1" x14ac:dyDescent="0.3"/>
    <row r="154" s="17" customFormat="1" ht="13.05" customHeight="1" x14ac:dyDescent="0.3"/>
    <row r="155" s="17" customFormat="1" ht="13.05" customHeight="1" x14ac:dyDescent="0.3"/>
    <row r="156" s="17" customFormat="1" ht="13.05" customHeight="1" x14ac:dyDescent="0.3"/>
    <row r="157" s="17" customFormat="1" ht="13.05" customHeight="1" x14ac:dyDescent="0.3"/>
    <row r="158" s="17" customFormat="1" ht="13.05" customHeight="1" x14ac:dyDescent="0.3"/>
    <row r="159" s="17" customFormat="1" ht="13.05" customHeight="1" x14ac:dyDescent="0.3"/>
    <row r="160" s="17" customFormat="1" ht="13.05" customHeight="1" x14ac:dyDescent="0.3"/>
    <row r="161" s="17" customFormat="1" ht="13.05" customHeight="1" x14ac:dyDescent="0.3"/>
    <row r="162" s="17" customFormat="1" ht="13.05" customHeight="1" x14ac:dyDescent="0.3"/>
    <row r="163" s="17" customFormat="1" ht="13.05" customHeight="1" x14ac:dyDescent="0.3"/>
    <row r="164" s="17" customFormat="1" ht="13.05" customHeight="1" x14ac:dyDescent="0.3"/>
    <row r="165" s="17" customFormat="1" ht="13.05" customHeight="1" x14ac:dyDescent="0.3"/>
    <row r="166" s="17" customFormat="1" ht="13.05" customHeight="1" x14ac:dyDescent="0.3"/>
    <row r="167" s="17" customFormat="1" ht="13.05" customHeight="1" x14ac:dyDescent="0.3"/>
    <row r="168" s="17" customFormat="1" ht="13.05" customHeight="1" x14ac:dyDescent="0.3"/>
    <row r="169" s="17" customFormat="1" ht="13.05" customHeight="1" x14ac:dyDescent="0.3"/>
    <row r="170" s="17" customFormat="1" ht="13.05" customHeight="1" x14ac:dyDescent="0.3"/>
    <row r="171" s="17" customFormat="1" ht="13.05" customHeight="1" x14ac:dyDescent="0.3"/>
    <row r="172" s="17" customFormat="1" ht="13.05" customHeight="1" x14ac:dyDescent="0.3"/>
    <row r="173" s="17" customFormat="1" ht="13.05" customHeight="1" x14ac:dyDescent="0.3"/>
    <row r="174" s="17" customFormat="1" ht="13.05" customHeight="1" x14ac:dyDescent="0.3"/>
    <row r="175" s="17" customFormat="1" ht="13.05" customHeight="1" x14ac:dyDescent="0.3"/>
    <row r="176" s="17" customFormat="1" ht="13.05" customHeight="1" x14ac:dyDescent="0.3"/>
    <row r="177" s="17" customFormat="1" ht="13.05" customHeight="1" x14ac:dyDescent="0.3"/>
    <row r="178" s="17" customFormat="1" ht="13.05" customHeight="1" x14ac:dyDescent="0.3"/>
    <row r="179" s="17" customFormat="1" ht="13.05" customHeight="1" x14ac:dyDescent="0.3"/>
    <row r="180" s="17" customFormat="1" ht="13.05" customHeight="1" x14ac:dyDescent="0.3"/>
    <row r="181" s="17" customFormat="1" ht="13.05" customHeight="1" x14ac:dyDescent="0.3"/>
    <row r="182" s="17" customFormat="1" ht="13.05" customHeight="1" x14ac:dyDescent="0.3"/>
    <row r="183" s="17" customFormat="1" ht="13.05" customHeight="1" x14ac:dyDescent="0.3"/>
    <row r="184" s="17" customFormat="1" ht="13.05" customHeight="1" x14ac:dyDescent="0.3"/>
    <row r="185" s="17" customFormat="1" ht="13.05" customHeight="1" x14ac:dyDescent="0.3"/>
    <row r="186" s="17" customFormat="1" ht="13.05" customHeight="1" x14ac:dyDescent="0.3"/>
    <row r="187" s="17" customFormat="1" ht="13.05" customHeight="1" x14ac:dyDescent="0.3"/>
    <row r="188" s="17" customFormat="1" ht="13.05" customHeight="1" x14ac:dyDescent="0.3"/>
    <row r="189" s="17" customFormat="1" ht="13.05" customHeight="1" x14ac:dyDescent="0.3"/>
    <row r="190" s="17" customFormat="1" ht="13.05" customHeight="1" x14ac:dyDescent="0.3"/>
    <row r="191" s="17" customFormat="1" ht="13.05" customHeight="1" x14ac:dyDescent="0.3"/>
    <row r="192" s="17" customFormat="1" ht="13.05" customHeight="1" x14ac:dyDescent="0.3"/>
    <row r="193" s="17" customFormat="1" ht="13.05" customHeight="1" x14ac:dyDescent="0.3"/>
    <row r="194" s="17" customFormat="1" ht="13.05" customHeight="1" x14ac:dyDescent="0.3"/>
    <row r="195" s="17" customFormat="1" ht="13.05" customHeight="1" x14ac:dyDescent="0.3"/>
    <row r="196" s="17" customFormat="1" ht="13.05" customHeight="1" x14ac:dyDescent="0.3"/>
    <row r="197" s="17" customFormat="1" ht="13.05" customHeight="1" x14ac:dyDescent="0.3"/>
    <row r="198" s="17" customFormat="1" ht="13.05" customHeight="1" x14ac:dyDescent="0.3"/>
    <row r="199" s="17" customFormat="1" ht="13.05" customHeight="1" x14ac:dyDescent="0.3"/>
    <row r="200" s="17" customFormat="1" ht="13.05" customHeight="1" x14ac:dyDescent="0.3"/>
    <row r="201" s="17" customFormat="1" ht="13.05" customHeight="1" x14ac:dyDescent="0.3"/>
    <row r="202" s="17" customFormat="1" ht="13.05" customHeight="1" x14ac:dyDescent="0.3"/>
    <row r="203" s="17" customFormat="1" ht="13.05" customHeight="1" x14ac:dyDescent="0.3"/>
    <row r="204" s="17" customFormat="1" ht="13.05" customHeight="1" x14ac:dyDescent="0.3"/>
    <row r="205" s="17" customFormat="1" ht="13.05" customHeight="1" x14ac:dyDescent="0.3"/>
    <row r="206" s="17" customFormat="1" ht="13.05" customHeight="1" x14ac:dyDescent="0.3"/>
    <row r="207" s="17" customFormat="1" ht="13.05" customHeight="1" x14ac:dyDescent="0.3"/>
    <row r="208" s="17" customFormat="1" ht="13.05" customHeight="1" x14ac:dyDescent="0.3"/>
    <row r="209" s="17" customFormat="1" ht="13.05" customHeight="1" x14ac:dyDescent="0.3"/>
    <row r="210" s="17" customFormat="1" ht="13.05" customHeight="1" x14ac:dyDescent="0.3"/>
    <row r="211" s="17" customFormat="1" ht="13.05" customHeight="1" x14ac:dyDescent="0.3"/>
    <row r="212" s="17" customFormat="1" ht="13.05" customHeight="1" x14ac:dyDescent="0.3"/>
    <row r="213" s="17" customFormat="1" ht="13.05" customHeight="1" x14ac:dyDescent="0.3"/>
    <row r="214" s="17" customFormat="1" ht="13.05" customHeight="1" x14ac:dyDescent="0.3"/>
    <row r="215" s="17" customFormat="1" ht="13.05" customHeight="1" x14ac:dyDescent="0.3"/>
    <row r="216" s="17" customFormat="1" ht="13.05" customHeight="1" x14ac:dyDescent="0.3"/>
    <row r="217" s="17" customFormat="1" ht="13.05" customHeight="1" x14ac:dyDescent="0.3"/>
    <row r="218" s="17" customFormat="1" ht="13.05" customHeight="1" x14ac:dyDescent="0.3"/>
    <row r="219" s="17" customFormat="1" ht="13.05" customHeight="1" x14ac:dyDescent="0.3"/>
    <row r="220" s="17" customFormat="1" ht="13.05" customHeight="1" x14ac:dyDescent="0.3"/>
    <row r="221" s="17" customFormat="1" ht="13.05" customHeight="1" x14ac:dyDescent="0.3"/>
    <row r="222" s="17" customFormat="1" ht="13.05" customHeight="1" x14ac:dyDescent="0.3"/>
    <row r="223" s="17" customFormat="1" ht="13.05" customHeight="1" x14ac:dyDescent="0.3"/>
    <row r="224" s="17" customFormat="1" ht="13.05" customHeight="1" x14ac:dyDescent="0.3"/>
    <row r="225" s="17" customFormat="1" ht="13.05" customHeight="1" x14ac:dyDescent="0.3"/>
    <row r="226" s="17" customFormat="1" ht="13.05" customHeight="1" x14ac:dyDescent="0.3"/>
    <row r="227" s="17" customFormat="1" ht="13.05" customHeight="1" x14ac:dyDescent="0.3"/>
    <row r="228" s="17" customFormat="1" ht="13.05" customHeight="1" x14ac:dyDescent="0.3"/>
    <row r="229" s="17" customFormat="1" ht="13.05" customHeight="1" x14ac:dyDescent="0.3"/>
    <row r="230" s="17" customFormat="1" ht="13.05" customHeight="1" x14ac:dyDescent="0.3"/>
    <row r="231" s="17" customFormat="1" ht="13.05" customHeight="1" x14ac:dyDescent="0.3"/>
    <row r="232" s="17" customFormat="1" ht="13.05" customHeight="1" x14ac:dyDescent="0.3"/>
    <row r="233" s="17" customFormat="1" ht="13.05" customHeight="1" x14ac:dyDescent="0.3"/>
    <row r="234" s="17" customFormat="1" ht="13.05" customHeight="1" x14ac:dyDescent="0.3"/>
    <row r="235" s="17" customFormat="1" ht="13.05" customHeight="1" x14ac:dyDescent="0.3"/>
    <row r="236" s="17" customFormat="1" ht="13.05" customHeight="1" x14ac:dyDescent="0.3"/>
    <row r="237" s="17" customFormat="1" ht="13.05" customHeight="1" x14ac:dyDescent="0.3"/>
    <row r="238" s="17" customFormat="1" ht="13.05" customHeight="1" x14ac:dyDescent="0.3"/>
    <row r="239" s="17" customFormat="1" ht="13.05" customHeight="1" x14ac:dyDescent="0.3"/>
    <row r="240" s="17" customFormat="1" ht="13.05" customHeight="1" x14ac:dyDescent="0.3"/>
    <row r="241" s="17" customFormat="1" ht="13.05" customHeight="1" x14ac:dyDescent="0.3"/>
    <row r="242" s="17" customFormat="1" ht="13.05" customHeight="1" x14ac:dyDescent="0.3"/>
    <row r="243" s="17" customFormat="1" ht="13.05" customHeight="1" x14ac:dyDescent="0.3"/>
    <row r="244" s="17" customFormat="1" ht="13.05" customHeight="1" x14ac:dyDescent="0.3"/>
    <row r="245" s="17" customFormat="1" ht="13.05" customHeight="1" x14ac:dyDescent="0.3"/>
    <row r="246" s="17" customFormat="1" ht="13.05" customHeight="1" x14ac:dyDescent="0.3"/>
    <row r="247" s="17" customFormat="1" ht="13.05" customHeight="1" x14ac:dyDescent="0.3"/>
    <row r="248" s="17" customFormat="1" ht="13.05" customHeight="1" x14ac:dyDescent="0.3"/>
    <row r="249" s="17" customFormat="1" ht="13.05" customHeight="1" x14ac:dyDescent="0.3"/>
    <row r="250" s="17" customFormat="1" ht="13.05" customHeight="1" x14ac:dyDescent="0.3"/>
    <row r="251" s="17" customFormat="1" ht="13.05" customHeight="1" x14ac:dyDescent="0.3"/>
    <row r="252" s="17" customFormat="1" ht="13.05" customHeight="1" x14ac:dyDescent="0.3"/>
    <row r="253" s="17" customFormat="1" ht="13.05" customHeight="1" x14ac:dyDescent="0.3"/>
    <row r="254" s="17" customFormat="1" ht="13.05" customHeight="1" x14ac:dyDescent="0.3"/>
    <row r="255" s="17" customFormat="1" ht="13.05" customHeight="1" x14ac:dyDescent="0.3"/>
    <row r="256" s="17" customFormat="1" ht="13.05" customHeight="1" x14ac:dyDescent="0.3"/>
    <row r="257" s="17" customFormat="1" ht="13.05" customHeight="1" x14ac:dyDescent="0.3"/>
    <row r="258" s="17" customFormat="1" ht="13.05" customHeight="1" x14ac:dyDescent="0.3"/>
    <row r="259" s="17" customFormat="1" ht="13.05" customHeight="1" x14ac:dyDescent="0.3"/>
    <row r="260" s="17" customFormat="1" ht="13.05" customHeight="1" x14ac:dyDescent="0.3"/>
    <row r="261" s="17" customFormat="1" ht="13.05" customHeight="1" x14ac:dyDescent="0.3"/>
    <row r="262" s="17" customFormat="1" ht="13.05" customHeight="1" x14ac:dyDescent="0.3"/>
    <row r="263" s="17" customFormat="1" ht="13.05" customHeight="1" x14ac:dyDescent="0.3"/>
    <row r="264" s="17" customFormat="1" ht="13.05" customHeight="1" x14ac:dyDescent="0.3"/>
    <row r="265" s="17" customFormat="1" ht="13.05" customHeight="1" x14ac:dyDescent="0.3"/>
    <row r="266" s="17" customFormat="1" ht="13.05" customHeight="1" x14ac:dyDescent="0.3"/>
    <row r="267" s="17" customFormat="1" ht="13.05" customHeight="1" x14ac:dyDescent="0.3"/>
    <row r="268" s="17" customFormat="1" ht="13.05" customHeight="1" x14ac:dyDescent="0.3"/>
    <row r="269" s="17" customFormat="1" ht="13.05" customHeight="1" x14ac:dyDescent="0.3"/>
    <row r="270" s="17" customFormat="1" ht="13.05" customHeight="1" x14ac:dyDescent="0.3"/>
    <row r="271" s="17" customFormat="1" ht="13.05" customHeight="1" x14ac:dyDescent="0.3"/>
    <row r="272" s="17" customFormat="1" ht="13.05" customHeight="1" x14ac:dyDescent="0.3"/>
    <row r="273" s="17" customFormat="1" ht="13.05" customHeight="1" x14ac:dyDescent="0.3"/>
    <row r="274" s="17" customFormat="1" ht="13.05" customHeight="1" x14ac:dyDescent="0.3"/>
    <row r="275" s="17" customFormat="1" ht="13.05" customHeight="1" x14ac:dyDescent="0.3"/>
    <row r="276" s="17" customFormat="1" ht="13.05" customHeight="1" x14ac:dyDescent="0.3"/>
    <row r="277" s="17" customFormat="1" ht="13.05" customHeight="1" x14ac:dyDescent="0.3"/>
    <row r="278" s="17" customFormat="1" ht="13.05" customHeight="1" x14ac:dyDescent="0.3"/>
    <row r="279" s="17" customFormat="1" ht="13.05" customHeight="1" x14ac:dyDescent="0.3"/>
    <row r="280" s="17" customFormat="1" ht="13.05" customHeight="1" x14ac:dyDescent="0.3"/>
    <row r="281" s="17" customFormat="1" ht="13.05" customHeight="1" x14ac:dyDescent="0.3"/>
    <row r="282" s="17" customFormat="1" ht="13.05" customHeight="1" x14ac:dyDescent="0.3"/>
    <row r="283" s="17" customFormat="1" ht="13.05" customHeight="1" x14ac:dyDescent="0.3"/>
    <row r="284" s="17" customFormat="1" ht="13.05" customHeight="1" x14ac:dyDescent="0.3"/>
    <row r="285" s="17" customFormat="1" ht="13.05" customHeight="1" x14ac:dyDescent="0.3"/>
    <row r="286" s="17" customFormat="1" ht="13.05" customHeight="1" x14ac:dyDescent="0.3"/>
    <row r="287" s="17" customFormat="1" ht="13.05" customHeight="1" x14ac:dyDescent="0.3"/>
    <row r="288" s="17" customFormat="1" ht="13.05" customHeight="1" x14ac:dyDescent="0.3"/>
    <row r="289" s="17" customFormat="1" ht="13.05" customHeight="1" x14ac:dyDescent="0.3"/>
    <row r="290" s="17" customFormat="1" ht="13.05" customHeight="1" x14ac:dyDescent="0.3"/>
    <row r="291" s="17" customFormat="1" ht="13.05" customHeight="1" x14ac:dyDescent="0.3"/>
    <row r="292" s="17" customFormat="1" ht="13.05" customHeight="1" x14ac:dyDescent="0.3"/>
    <row r="293" s="17" customFormat="1" ht="13.05" customHeight="1" x14ac:dyDescent="0.3"/>
    <row r="294" s="17" customFormat="1" ht="13.05" customHeight="1" x14ac:dyDescent="0.3"/>
    <row r="295" s="17" customFormat="1" ht="13.05" customHeight="1" x14ac:dyDescent="0.3"/>
    <row r="296" s="17" customFormat="1" ht="13.05" customHeight="1" x14ac:dyDescent="0.3"/>
    <row r="297" s="17" customFormat="1" ht="13.05" customHeight="1" x14ac:dyDescent="0.3"/>
    <row r="298" s="17" customFormat="1" ht="13.05" customHeight="1" x14ac:dyDescent="0.3"/>
    <row r="299" s="17" customFormat="1" ht="13.05" customHeight="1" x14ac:dyDescent="0.3"/>
    <row r="300" s="17" customFormat="1" ht="13.05" customHeight="1" x14ac:dyDescent="0.3"/>
    <row r="301" s="17" customFormat="1" ht="13.05" customHeight="1" x14ac:dyDescent="0.3"/>
    <row r="302" s="17" customFormat="1" ht="13.05" customHeight="1" x14ac:dyDescent="0.3"/>
    <row r="303" s="17" customFormat="1" ht="13.05" customHeight="1" x14ac:dyDescent="0.3"/>
    <row r="304" s="17" customFormat="1" ht="13.05" customHeight="1" x14ac:dyDescent="0.3"/>
    <row r="305" s="17" customFormat="1" ht="13.05" customHeight="1" x14ac:dyDescent="0.3"/>
    <row r="306" s="17" customFormat="1" ht="13.05" customHeight="1" x14ac:dyDescent="0.3"/>
    <row r="307" s="17" customFormat="1" ht="13.05" customHeight="1" x14ac:dyDescent="0.3"/>
    <row r="308" s="17" customFormat="1" ht="13.05" customHeight="1" x14ac:dyDescent="0.3"/>
    <row r="309" s="17" customFormat="1" ht="13.05" customHeight="1" x14ac:dyDescent="0.3"/>
    <row r="310" s="17" customFormat="1" ht="13.05" customHeight="1" x14ac:dyDescent="0.3"/>
    <row r="311" s="17" customFormat="1" ht="13.05" customHeight="1" x14ac:dyDescent="0.3"/>
    <row r="312" s="17" customFormat="1" ht="13.05" customHeight="1" x14ac:dyDescent="0.3"/>
    <row r="313" s="17" customFormat="1" ht="13.05" customHeight="1" x14ac:dyDescent="0.3"/>
    <row r="314" s="17" customFormat="1" ht="13.05" customHeight="1" x14ac:dyDescent="0.3"/>
    <row r="315" s="17" customFormat="1" ht="13.05" customHeight="1" x14ac:dyDescent="0.3"/>
    <row r="316" s="17" customFormat="1" ht="13.05" customHeight="1" x14ac:dyDescent="0.3"/>
    <row r="317" s="17" customFormat="1" ht="13.05" customHeight="1" x14ac:dyDescent="0.3"/>
    <row r="318" s="17" customFormat="1" ht="13.05" customHeight="1" x14ac:dyDescent="0.3"/>
    <row r="319" s="17" customFormat="1" ht="13.05" customHeight="1" x14ac:dyDescent="0.3"/>
    <row r="320" s="17" customFormat="1" ht="13.05" customHeight="1" x14ac:dyDescent="0.3"/>
    <row r="321" s="17" customFormat="1" ht="13.05" customHeight="1" x14ac:dyDescent="0.3"/>
    <row r="322" s="17" customFormat="1" ht="13.05" customHeight="1" x14ac:dyDescent="0.3"/>
    <row r="323" s="17" customFormat="1" ht="13.05" customHeight="1" x14ac:dyDescent="0.3"/>
    <row r="324" s="17" customFormat="1" ht="13.05" customHeight="1" x14ac:dyDescent="0.3"/>
    <row r="325" s="17" customFormat="1" ht="13.05" customHeight="1" x14ac:dyDescent="0.3"/>
    <row r="326" s="17" customFormat="1" ht="13.05" customHeight="1" x14ac:dyDescent="0.3"/>
    <row r="327" s="17" customFormat="1" ht="13.05" customHeight="1" x14ac:dyDescent="0.3"/>
    <row r="328" s="17" customFormat="1" ht="13.05" customHeight="1" x14ac:dyDescent="0.3"/>
    <row r="329" s="17" customFormat="1" ht="13.05" customHeight="1" x14ac:dyDescent="0.3"/>
    <row r="330" s="17" customFormat="1" ht="13.05" customHeight="1" x14ac:dyDescent="0.3"/>
    <row r="331" s="17" customFormat="1" ht="13.05" customHeight="1" x14ac:dyDescent="0.3"/>
    <row r="332" s="17" customFormat="1" ht="13.05" customHeight="1" x14ac:dyDescent="0.3"/>
    <row r="333" s="17" customFormat="1" ht="13.05" customHeight="1" x14ac:dyDescent="0.3"/>
    <row r="334" s="17" customFormat="1" ht="13.05" customHeight="1" x14ac:dyDescent="0.3"/>
    <row r="335" s="17" customFormat="1" ht="13.05" customHeight="1" x14ac:dyDescent="0.3"/>
    <row r="336" s="17" customFormat="1" ht="13.05" customHeight="1" x14ac:dyDescent="0.3"/>
    <row r="337" s="17" customFormat="1" ht="13.05" customHeight="1" x14ac:dyDescent="0.3"/>
    <row r="338" s="17" customFormat="1" ht="13.05" customHeight="1" x14ac:dyDescent="0.3"/>
    <row r="339" s="17" customFormat="1" ht="13.05" customHeight="1" x14ac:dyDescent="0.3"/>
    <row r="340" s="17" customFormat="1" ht="13.05" customHeight="1" x14ac:dyDescent="0.3"/>
    <row r="341" s="17" customFormat="1" ht="13.05" customHeight="1" x14ac:dyDescent="0.3"/>
    <row r="342" s="17" customFormat="1" ht="13.05" customHeight="1" x14ac:dyDescent="0.3"/>
    <row r="343" s="17" customFormat="1" ht="13.05" customHeight="1" x14ac:dyDescent="0.3"/>
    <row r="344" s="17" customFormat="1" ht="13.05" customHeight="1" x14ac:dyDescent="0.3"/>
    <row r="345" s="17" customFormat="1" ht="13.05" customHeight="1" x14ac:dyDescent="0.3"/>
    <row r="346" s="17" customFormat="1" ht="13.05" customHeight="1" x14ac:dyDescent="0.3"/>
    <row r="347" s="17" customFormat="1" ht="13.05" customHeight="1" x14ac:dyDescent="0.3"/>
    <row r="348" s="17" customFormat="1" ht="13.05" customHeight="1" x14ac:dyDescent="0.3"/>
    <row r="349" s="17" customFormat="1" ht="13.05" customHeight="1" x14ac:dyDescent="0.3"/>
    <row r="350" s="17" customFormat="1" ht="13.05" customHeight="1" x14ac:dyDescent="0.3"/>
    <row r="351" s="17" customFormat="1" ht="13.05" customHeight="1" x14ac:dyDescent="0.3"/>
    <row r="352" s="17" customFormat="1" ht="13.05" customHeight="1" x14ac:dyDescent="0.3"/>
    <row r="353" s="17" customFormat="1" ht="13.05" customHeight="1" x14ac:dyDescent="0.3"/>
    <row r="354" s="17" customFormat="1" ht="13.05" customHeight="1" x14ac:dyDescent="0.3"/>
    <row r="355" s="17" customFormat="1" ht="13.05" customHeight="1" x14ac:dyDescent="0.3"/>
    <row r="356" s="17" customFormat="1" ht="13.05" customHeight="1" x14ac:dyDescent="0.3"/>
    <row r="357" s="17" customFormat="1" ht="13.05" customHeight="1" x14ac:dyDescent="0.3"/>
    <row r="358" s="17" customFormat="1" ht="13.05" customHeight="1" x14ac:dyDescent="0.3"/>
    <row r="359" s="17" customFormat="1" ht="13.05" customHeight="1" x14ac:dyDescent="0.3"/>
    <row r="360" s="17" customFormat="1" ht="13.05" customHeight="1" x14ac:dyDescent="0.3"/>
    <row r="361" s="17" customFormat="1" ht="13.05" customHeight="1" x14ac:dyDescent="0.3"/>
    <row r="362" s="17" customFormat="1" ht="13.05" customHeight="1" x14ac:dyDescent="0.3"/>
    <row r="363" s="17" customFormat="1" ht="13.05" customHeight="1" x14ac:dyDescent="0.3"/>
    <row r="364" s="17" customFormat="1" ht="13.05" customHeight="1" x14ac:dyDescent="0.3"/>
    <row r="365" s="17" customFormat="1" ht="13.05" customHeight="1" x14ac:dyDescent="0.3"/>
    <row r="366" s="17" customFormat="1" ht="13.05" customHeight="1" x14ac:dyDescent="0.3"/>
    <row r="367" s="17" customFormat="1" ht="13.05" customHeight="1" x14ac:dyDescent="0.3"/>
    <row r="368" s="17" customFormat="1" ht="13.05" customHeight="1" x14ac:dyDescent="0.3"/>
    <row r="369" s="17" customFormat="1" ht="13.05" customHeight="1" x14ac:dyDescent="0.3"/>
    <row r="370" s="17" customFormat="1" ht="13.05" customHeight="1" x14ac:dyDescent="0.3"/>
    <row r="371" s="17" customFormat="1" ht="13.05" customHeight="1" x14ac:dyDescent="0.3"/>
    <row r="372" s="17" customFormat="1" ht="13.05" customHeight="1" x14ac:dyDescent="0.3"/>
    <row r="373" s="17" customFormat="1" ht="13.05" customHeight="1" x14ac:dyDescent="0.3"/>
    <row r="374" s="17" customFormat="1" ht="13.05" customHeight="1" x14ac:dyDescent="0.3"/>
    <row r="375" s="17" customFormat="1" ht="13.05" customHeight="1" x14ac:dyDescent="0.3"/>
    <row r="376" s="17" customFormat="1" ht="13.05" customHeight="1" x14ac:dyDescent="0.3"/>
    <row r="377" s="17" customFormat="1" ht="13.05" customHeight="1" x14ac:dyDescent="0.3"/>
    <row r="378" s="17" customFormat="1" ht="13.05" customHeight="1" x14ac:dyDescent="0.3"/>
    <row r="379" s="17" customFormat="1" ht="13.05" customHeight="1" x14ac:dyDescent="0.3"/>
    <row r="380" s="17" customFormat="1" ht="13.05" customHeight="1" x14ac:dyDescent="0.3"/>
    <row r="381" s="17" customFormat="1" ht="13.05" customHeight="1" x14ac:dyDescent="0.3"/>
    <row r="382" s="17" customFormat="1" ht="13.05" customHeight="1" x14ac:dyDescent="0.3"/>
    <row r="383" s="17" customFormat="1" ht="13.05" customHeight="1" x14ac:dyDescent="0.3"/>
    <row r="384" s="17" customFormat="1" ht="13.05" customHeight="1" x14ac:dyDescent="0.3"/>
    <row r="385" s="17" customFormat="1" ht="13.05" customHeight="1" x14ac:dyDescent="0.3"/>
    <row r="386" s="17" customFormat="1" ht="13.05" customHeight="1" x14ac:dyDescent="0.3"/>
    <row r="387" s="17" customFormat="1" ht="13.05" customHeight="1" x14ac:dyDescent="0.3"/>
    <row r="388" s="17" customFormat="1" ht="13.05" customHeight="1" x14ac:dyDescent="0.3"/>
    <row r="389" s="17" customFormat="1" ht="13.05" customHeight="1" x14ac:dyDescent="0.3"/>
    <row r="390" s="17" customFormat="1" ht="13.05" customHeight="1" x14ac:dyDescent="0.3"/>
    <row r="391" s="17" customFormat="1" ht="13.05" customHeight="1" x14ac:dyDescent="0.3"/>
    <row r="392" s="17" customFormat="1" ht="13.05" customHeight="1" x14ac:dyDescent="0.3"/>
    <row r="393" s="17" customFormat="1" ht="13.05" customHeight="1" x14ac:dyDescent="0.3"/>
    <row r="394" s="17" customFormat="1" ht="13.05" customHeight="1" x14ac:dyDescent="0.3"/>
    <row r="395" s="17" customFormat="1" ht="13.05" customHeight="1" x14ac:dyDescent="0.3"/>
    <row r="396" s="17" customFormat="1" ht="13.05" customHeight="1" x14ac:dyDescent="0.3"/>
    <row r="397" s="17" customFormat="1" ht="13.05" customHeight="1" x14ac:dyDescent="0.3"/>
    <row r="398" s="17" customFormat="1" ht="13.05" customHeight="1" x14ac:dyDescent="0.3"/>
    <row r="399" s="17" customFormat="1" ht="13.05" customHeight="1" x14ac:dyDescent="0.3"/>
    <row r="400" s="17" customFormat="1" ht="13.05" customHeight="1" x14ac:dyDescent="0.3"/>
    <row r="401" s="17" customFormat="1" ht="13.05" customHeight="1" x14ac:dyDescent="0.3"/>
    <row r="402" s="17" customFormat="1" ht="13.05" customHeight="1" x14ac:dyDescent="0.3"/>
    <row r="403" s="17" customFormat="1" ht="13.05" customHeight="1" x14ac:dyDescent="0.3"/>
    <row r="404" s="17" customFormat="1" ht="13.05" customHeight="1" x14ac:dyDescent="0.3"/>
    <row r="405" s="17" customFormat="1" ht="13.05" customHeight="1" x14ac:dyDescent="0.3"/>
    <row r="406" s="17" customFormat="1" ht="13.05" customHeight="1" x14ac:dyDescent="0.3"/>
    <row r="407" s="17" customFormat="1" ht="13.05" customHeight="1" x14ac:dyDescent="0.3"/>
    <row r="408" s="17" customFormat="1" ht="13.05" customHeight="1" x14ac:dyDescent="0.3"/>
    <row r="409" s="17" customFormat="1" ht="13.05" customHeight="1" x14ac:dyDescent="0.3"/>
    <row r="410" s="17" customFormat="1" ht="13.05" customHeight="1" x14ac:dyDescent="0.3"/>
    <row r="411" s="17" customFormat="1" ht="13.05" customHeight="1" x14ac:dyDescent="0.3"/>
    <row r="412" s="17" customFormat="1" ht="13.05" customHeight="1" x14ac:dyDescent="0.3"/>
    <row r="413" s="17" customFormat="1" ht="13.05" customHeight="1" x14ac:dyDescent="0.3"/>
    <row r="414" s="17" customFormat="1" ht="13.05" customHeight="1" x14ac:dyDescent="0.3"/>
    <row r="415" s="17" customFormat="1" ht="13.05" customHeight="1" x14ac:dyDescent="0.3"/>
    <row r="416" s="17" customFormat="1" ht="13.05" customHeight="1" x14ac:dyDescent="0.3"/>
    <row r="417" s="17" customFormat="1" ht="13.05" customHeight="1" x14ac:dyDescent="0.3"/>
    <row r="418" s="17" customFormat="1" ht="13.05" customHeight="1" x14ac:dyDescent="0.3"/>
    <row r="419" s="17" customFormat="1" ht="13.05" customHeight="1" x14ac:dyDescent="0.3"/>
    <row r="420" s="17" customFormat="1" ht="13.05" customHeight="1" x14ac:dyDescent="0.3"/>
    <row r="421" s="17" customFormat="1" ht="13.05" customHeight="1" x14ac:dyDescent="0.3"/>
    <row r="422" s="17" customFormat="1" ht="13.05" customHeight="1" x14ac:dyDescent="0.3"/>
    <row r="423" s="17" customFormat="1" ht="13.05" customHeight="1" x14ac:dyDescent="0.3"/>
    <row r="424" s="17" customFormat="1" ht="13.05" customHeight="1" x14ac:dyDescent="0.3"/>
    <row r="425" s="17" customFormat="1" ht="13.05" customHeight="1" x14ac:dyDescent="0.3"/>
    <row r="426" s="17" customFormat="1" ht="13.05" customHeight="1" x14ac:dyDescent="0.3"/>
    <row r="427" s="17" customFormat="1" ht="13.05" customHeight="1" x14ac:dyDescent="0.3"/>
    <row r="428" s="17" customFormat="1" ht="13.05" customHeight="1" x14ac:dyDescent="0.3"/>
    <row r="429" s="17" customFormat="1" ht="13.05" customHeight="1" x14ac:dyDescent="0.3"/>
    <row r="430" s="17" customFormat="1" ht="13.05" customHeight="1" x14ac:dyDescent="0.3"/>
    <row r="431" s="17" customFormat="1" ht="13.05" customHeight="1" x14ac:dyDescent="0.3"/>
    <row r="432" s="17" customFormat="1" ht="13.05" customHeight="1" x14ac:dyDescent="0.3"/>
    <row r="433" s="17" customFormat="1" ht="13.05" customHeight="1" x14ac:dyDescent="0.3"/>
    <row r="434" s="17" customFormat="1" ht="13.05" customHeight="1" x14ac:dyDescent="0.3"/>
    <row r="435" s="17" customFormat="1" ht="13.05" customHeight="1" x14ac:dyDescent="0.3"/>
    <row r="436" s="17" customFormat="1" ht="13.05" customHeight="1" x14ac:dyDescent="0.3"/>
    <row r="437" s="17" customFormat="1" ht="13.05" customHeight="1" x14ac:dyDescent="0.3"/>
    <row r="438" s="17" customFormat="1" ht="13.05" customHeight="1" x14ac:dyDescent="0.3"/>
    <row r="439" s="17" customFormat="1" ht="13.05" customHeight="1" x14ac:dyDescent="0.3"/>
    <row r="440" s="17" customFormat="1" ht="13.05" customHeight="1" x14ac:dyDescent="0.3"/>
    <row r="441" s="17" customFormat="1" ht="13.05" customHeight="1" x14ac:dyDescent="0.3"/>
    <row r="442" s="17" customFormat="1" ht="13.05" customHeight="1" x14ac:dyDescent="0.3"/>
    <row r="443" s="17" customFormat="1" ht="13.05" customHeight="1" x14ac:dyDescent="0.3"/>
    <row r="444" s="17" customFormat="1" ht="13.05" customHeight="1" x14ac:dyDescent="0.3"/>
    <row r="445" s="17" customFormat="1" ht="13.05" customHeight="1" x14ac:dyDescent="0.3"/>
    <row r="446" s="17" customFormat="1" ht="13.05" customHeight="1" x14ac:dyDescent="0.3"/>
    <row r="447" s="17" customFormat="1" ht="13.05" customHeight="1" x14ac:dyDescent="0.3"/>
    <row r="448" s="17" customFormat="1" ht="13.05" customHeight="1" x14ac:dyDescent="0.3"/>
    <row r="449" s="17" customFormat="1" ht="13.05" customHeight="1" x14ac:dyDescent="0.3"/>
    <row r="450" s="17" customFormat="1" ht="13.05" customHeight="1" x14ac:dyDescent="0.3"/>
    <row r="451" s="17" customFormat="1" ht="13.05" customHeight="1" x14ac:dyDescent="0.3"/>
    <row r="452" s="17" customFormat="1" ht="13.05" customHeight="1" x14ac:dyDescent="0.3"/>
    <row r="453" s="17" customFormat="1" ht="13.05" customHeight="1" x14ac:dyDescent="0.3"/>
    <row r="454" s="17" customFormat="1" ht="13.05" customHeight="1" x14ac:dyDescent="0.3"/>
    <row r="455" s="17" customFormat="1" ht="13.05" customHeight="1" x14ac:dyDescent="0.3"/>
    <row r="456" s="17" customFormat="1" ht="13.05" customHeight="1" x14ac:dyDescent="0.3"/>
    <row r="457" s="17" customFormat="1" ht="13.05" customHeight="1" x14ac:dyDescent="0.3"/>
    <row r="458" s="17" customFormat="1" ht="13.05" customHeight="1" x14ac:dyDescent="0.3"/>
    <row r="459" s="17" customFormat="1" ht="13.05" customHeight="1" x14ac:dyDescent="0.3"/>
    <row r="460" s="17" customFormat="1" ht="13.05" customHeight="1" x14ac:dyDescent="0.3"/>
    <row r="461" s="17" customFormat="1" ht="13.05" customHeight="1" x14ac:dyDescent="0.3"/>
    <row r="462" s="17" customFormat="1" ht="13.05" customHeight="1" x14ac:dyDescent="0.3"/>
    <row r="463" s="17" customFormat="1" ht="13.05" customHeight="1" x14ac:dyDescent="0.3"/>
    <row r="464" s="17" customFormat="1" ht="13.05" customHeight="1" x14ac:dyDescent="0.3"/>
    <row r="465" s="17" customFormat="1" ht="13.05" customHeight="1" x14ac:dyDescent="0.3"/>
    <row r="466" s="17" customFormat="1" ht="13.05" customHeight="1" x14ac:dyDescent="0.3"/>
    <row r="467" s="17" customFormat="1" ht="13.05" customHeight="1" x14ac:dyDescent="0.3"/>
    <row r="468" s="17" customFormat="1" ht="13.05" customHeight="1" x14ac:dyDescent="0.3"/>
    <row r="469" s="17" customFormat="1" ht="13.05" customHeight="1" x14ac:dyDescent="0.3"/>
    <row r="470" s="17" customFormat="1" ht="13.05" customHeight="1" x14ac:dyDescent="0.3"/>
    <row r="471" s="17" customFormat="1" ht="13.05" customHeight="1" x14ac:dyDescent="0.3"/>
    <row r="472" s="17" customFormat="1" ht="13.05" customHeight="1" x14ac:dyDescent="0.3"/>
    <row r="473" s="17" customFormat="1" ht="13.05" customHeight="1" x14ac:dyDescent="0.3"/>
    <row r="474" s="17" customFormat="1" ht="13.05" customHeight="1" x14ac:dyDescent="0.3"/>
    <row r="475" s="17" customFormat="1" ht="13.05" customHeight="1" x14ac:dyDescent="0.3"/>
    <row r="476" s="17" customFormat="1" ht="13.05" customHeight="1" x14ac:dyDescent="0.3"/>
    <row r="477" s="17" customFormat="1" ht="13.05" customHeight="1" x14ac:dyDescent="0.3"/>
    <row r="478" s="17" customFormat="1" ht="13.05" customHeight="1" x14ac:dyDescent="0.3"/>
    <row r="479" s="17" customFormat="1" ht="13.05" customHeight="1" x14ac:dyDescent="0.3"/>
    <row r="480" s="17" customFormat="1" ht="13.05" customHeight="1" x14ac:dyDescent="0.3"/>
    <row r="481" s="17" customFormat="1" ht="13.05" customHeight="1" x14ac:dyDescent="0.3"/>
    <row r="482" s="17" customFormat="1" ht="13.05" customHeight="1" x14ac:dyDescent="0.3"/>
    <row r="483" s="17" customFormat="1" ht="13.05" customHeight="1" x14ac:dyDescent="0.3"/>
    <row r="484" s="17" customFormat="1" ht="13.05" customHeight="1" x14ac:dyDescent="0.3"/>
    <row r="485" s="17" customFormat="1" ht="13.05" customHeight="1" x14ac:dyDescent="0.3"/>
    <row r="486" s="17" customFormat="1" ht="13.05" customHeight="1" x14ac:dyDescent="0.3"/>
    <row r="487" s="17" customFormat="1" ht="13.05" customHeight="1" x14ac:dyDescent="0.3"/>
    <row r="488" s="17" customFormat="1" ht="13.05" customHeight="1" x14ac:dyDescent="0.3"/>
    <row r="489" s="17" customFormat="1" ht="13.05" customHeight="1" x14ac:dyDescent="0.3"/>
    <row r="490" s="17" customFormat="1" ht="13.05" customHeight="1" x14ac:dyDescent="0.3"/>
    <row r="491" s="17" customFormat="1" ht="13.05" customHeight="1" x14ac:dyDescent="0.3"/>
    <row r="492" s="17" customFormat="1" ht="13.05" customHeight="1" x14ac:dyDescent="0.3"/>
    <row r="493" s="17" customFormat="1" ht="13.05" customHeight="1" x14ac:dyDescent="0.3"/>
    <row r="494" s="17" customFormat="1" ht="13.05" customHeight="1" x14ac:dyDescent="0.3"/>
    <row r="495" s="17" customFormat="1" ht="13.05" customHeight="1" x14ac:dyDescent="0.3"/>
    <row r="496" s="17" customFormat="1" ht="13.05" customHeight="1" x14ac:dyDescent="0.3"/>
    <row r="497" s="17" customFormat="1" ht="13.05" customHeight="1" x14ac:dyDescent="0.3"/>
    <row r="498" s="17" customFormat="1" ht="13.05" customHeight="1" x14ac:dyDescent="0.3"/>
    <row r="499" s="17" customFormat="1" ht="13.05" customHeight="1" x14ac:dyDescent="0.3"/>
    <row r="500" s="17" customFormat="1" ht="13.05" customHeight="1" x14ac:dyDescent="0.3"/>
    <row r="501" s="17" customFormat="1" ht="13.05" customHeight="1" x14ac:dyDescent="0.3"/>
  </sheetData>
  <mergeCells count="7">
    <mergeCell ref="D67:E67"/>
    <mergeCell ref="D68:E68"/>
    <mergeCell ref="B50:G50"/>
    <mergeCell ref="B54:C54"/>
    <mergeCell ref="H60:I60"/>
    <mergeCell ref="D65:E65"/>
    <mergeCell ref="D66:E66"/>
  </mergeCells>
  <pageMargins left="0.7" right="0.7" top="0.75" bottom="0.75" header="0.3" footer="0.3"/>
  <pageSetup paperSize="9" orientation="portrait" r:id="rId1"/>
  <ignoredErrors>
    <ignoredError sqref="H28 C25:C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FCL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Rauman Trehaan</dc:creator>
  <cp:lastModifiedBy>Rauman Trehaan</cp:lastModifiedBy>
  <dcterms:created xsi:type="dcterms:W3CDTF">2024-05-27T15:48:20Z</dcterms:created>
  <dcterms:modified xsi:type="dcterms:W3CDTF">2024-06-02T14:28:41Z</dcterms:modified>
</cp:coreProperties>
</file>