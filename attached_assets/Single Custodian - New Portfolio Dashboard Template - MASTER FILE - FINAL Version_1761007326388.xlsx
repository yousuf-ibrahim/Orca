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Client\Excel Bloomberg\MASTER\FINAL\FCL New Portfolio Dashboard - IC\New Dashboards - FINAL TEMPLATES\Single Custodian Portfolio Dashboard Template - FINAL\"/>
    </mc:Choice>
  </mc:AlternateContent>
  <xr:revisionPtr revIDLastSave="0" documentId="13_ncr:1_{49308474-C601-4C99-BD1A-70D567233C32}" xr6:coauthVersionLast="47" xr6:coauthVersionMax="47" xr10:uidLastSave="{00000000-0000-0000-0000-000000000000}"/>
  <bookViews>
    <workbookView xWindow="-28920" yWindow="-120" windowWidth="29040" windowHeight="15720" tabRatio="882" xr2:uid="{41295EF1-E5D3-41A2-B84F-326A72CFB8AB}"/>
  </bookViews>
  <sheets>
    <sheet name="Current Asset Allocation" sheetId="29" r:id="rId1"/>
    <sheet name="PRR reference" sheetId="30" r:id="rId2"/>
    <sheet name="Bond Graph Data Sheet" sheetId="32" r:id="rId3"/>
  </sheets>
  <externalReferences>
    <externalReference r:id="rId4"/>
  </externalReferences>
  <definedNames>
    <definedName name="_xlnm._FilterDatabase" localSheetId="2" hidden="1">'Bond Graph Data Sheet'!$A$1:$AC$44</definedName>
    <definedName name="_xlnm.Print_Area" localSheetId="0">'Current Asset Allocation'!$A$1:$R$227</definedName>
    <definedName name="SpreadsheetBuilder_1" localSheetId="0"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55" i="29" l="1" a="1"/>
  <c r="W155" i="29" l="1"/>
  <c r="W156" i="29" a="1"/>
  <c r="W156" i="29" l="1"/>
  <c r="W157" i="29" a="1"/>
  <c r="W157" i="29"/>
  <c r="Z148" i="29" a="1"/>
  <c r="Z148" i="29"/>
  <c r="Z149" i="29" a="1"/>
  <c r="Z149" i="29"/>
  <c r="Z147" i="29" a="1"/>
  <c r="Z147" i="29"/>
  <c r="AA155" i="29" a="1"/>
  <c r="AA155" i="29"/>
  <c r="AM155" i="29"/>
  <c r="AB155" i="29"/>
  <c r="AK155" i="29"/>
  <c r="AH155" i="29"/>
  <c r="I155" i="29" a="1"/>
  <c r="I155" i="29"/>
  <c r="AJ155" i="29"/>
  <c r="AW155" i="29" a="1"/>
  <c r="AW155" i="29"/>
  <c r="AD155" i="29"/>
  <c r="AE155" i="29" a="1"/>
  <c r="AE155" i="29"/>
  <c r="AL155" i="29"/>
  <c r="B155" i="29"/>
  <c r="M155" i="29" s="1" a="1"/>
  <c r="AP155" i="29" a="1"/>
  <c r="M155" i="29" l="1"/>
  <c r="AP155" i="29"/>
  <c r="J155" i="29" a="1"/>
  <c r="J155" i="29"/>
  <c r="H155" i="29" a="1"/>
  <c r="H155" i="29"/>
  <c r="Z155" i="29" a="1"/>
  <c r="Z155" i="29"/>
  <c r="AI155" i="29"/>
  <c r="F155" i="29"/>
  <c r="G155" i="29" a="1"/>
  <c r="G155" i="29"/>
  <c r="X155" i="29" a="1"/>
  <c r="X155" i="29"/>
  <c r="AC155" i="29"/>
  <c r="AO155" i="29" a="1"/>
  <c r="AO155" i="29"/>
  <c r="D155" i="29" a="1"/>
  <c r="D155" i="29"/>
  <c r="AN155" i="29" a="1"/>
  <c r="AN155" i="29"/>
  <c r="AF155" i="29"/>
  <c r="A155" i="29"/>
  <c r="O207" i="29"/>
  <c r="O206" i="29"/>
  <c r="O205" i="29"/>
  <c r="O204" i="29"/>
  <c r="O203" i="29"/>
  <c r="O202" i="29"/>
  <c r="O201" i="29"/>
  <c r="O200" i="29"/>
  <c r="O199" i="29"/>
  <c r="O198" i="29"/>
  <c r="O197" i="29"/>
  <c r="O196" i="29"/>
  <c r="O195" i="29"/>
  <c r="O194" i="29"/>
  <c r="O193" i="29"/>
  <c r="O178" i="29"/>
  <c r="O177" i="29"/>
  <c r="O176" i="29"/>
  <c r="O175" i="29"/>
  <c r="N207" i="29"/>
  <c r="N206" i="29"/>
  <c r="N205" i="29"/>
  <c r="N204" i="29"/>
  <c r="N203" i="29"/>
  <c r="N202" i="29"/>
  <c r="N201" i="29"/>
  <c r="N200" i="29"/>
  <c r="N199" i="29"/>
  <c r="N198" i="29"/>
  <c r="N197" i="29"/>
  <c r="N196" i="29"/>
  <c r="N195" i="29"/>
  <c r="N194" i="29"/>
  <c r="N193" i="29"/>
  <c r="N178" i="29"/>
  <c r="N177" i="29"/>
  <c r="N176" i="29"/>
  <c r="N175" i="29"/>
  <c r="K178" i="29"/>
  <c r="K177" i="29"/>
  <c r="K176" i="29"/>
  <c r="K175" i="29"/>
  <c r="I134" i="29"/>
  <c r="E134" i="29"/>
  <c r="W11" i="29"/>
  <c r="P134" i="29"/>
  <c r="N134" i="29"/>
  <c r="AC187" i="29" a="1"/>
  <c r="AC187" i="29"/>
  <c r="AB187" i="29" a="1"/>
  <c r="AB187" i="29"/>
  <c r="W187" i="29" a="1"/>
  <c r="W187" i="29"/>
  <c r="AL187" i="29" a="1"/>
  <c r="AL187" i="29"/>
  <c r="AJ187" i="29" a="1"/>
  <c r="AJ187" i="29"/>
  <c r="I187" i="29"/>
  <c r="AO187" i="29" a="1"/>
  <c r="AO187" i="29"/>
  <c r="AK187" i="29" a="1"/>
  <c r="AK187" i="29"/>
  <c r="AR187" i="29" a="1"/>
  <c r="AR187" i="29"/>
  <c r="X187" i="29" a="1"/>
  <c r="X187" i="29"/>
  <c r="B187" i="29"/>
  <c r="AD187" i="29" a="1"/>
  <c r="AD187" i="29"/>
  <c r="AH187" i="29" a="1"/>
  <c r="AH187" i="29"/>
  <c r="AG187" i="29" a="1"/>
  <c r="AG187" i="29"/>
  <c r="AN187" i="29" a="1"/>
  <c r="AN187" i="29"/>
  <c r="AM187" i="29" a="1"/>
  <c r="AM187" i="29"/>
  <c r="AE187" i="29" a="1"/>
  <c r="AE187" i="29"/>
  <c r="AF187" i="29" a="1"/>
  <c r="AF187" i="29"/>
  <c r="AP187" i="29" a="1"/>
  <c r="AP187" i="29"/>
  <c r="AQ187" i="29" a="1"/>
  <c r="AQ187" i="29"/>
  <c r="AI187" i="29" a="1"/>
  <c r="AI187" i="29"/>
  <c r="E155" i="29"/>
  <c r="B213" i="29"/>
  <c r="F213" i="29" s="1"/>
  <c r="L2" i="32" a="1"/>
  <c r="L2" i="32"/>
  <c r="AA187" i="29" a="1"/>
  <c r="AA187" i="29"/>
  <c r="Y187" i="29" a="1"/>
  <c r="Y187" i="29"/>
  <c r="Z187" i="29" a="1"/>
  <c r="Z187" i="29"/>
  <c r="E156" i="29"/>
  <c r="Z165" i="29" a="1"/>
  <c r="Z165" i="29"/>
  <c r="E157" i="29"/>
  <c r="AH163" i="29" a="1"/>
  <c r="AH163" i="29"/>
  <c r="I148" i="29"/>
  <c r="AL167" i="29" a="1"/>
  <c r="AL167" i="29"/>
  <c r="AN167" i="29" a="1"/>
  <c r="AN167" i="29"/>
  <c r="AW169" i="29" a="1"/>
  <c r="AW169" i="29"/>
  <c r="Z168" i="29" a="1"/>
  <c r="Z168" i="29"/>
  <c r="G163" i="29"/>
  <c r="AM166" i="29" a="1"/>
  <c r="AM166" i="29"/>
  <c r="AC164" i="29" a="1"/>
  <c r="AC164" i="29"/>
  <c r="AM164" i="29" a="1"/>
  <c r="AM164" i="29"/>
  <c r="AE166" i="29" a="1"/>
  <c r="AE166" i="29"/>
  <c r="Z163" i="29" a="1"/>
  <c r="Z163" i="29"/>
  <c r="H165" i="29"/>
  <c r="B164" i="29"/>
  <c r="M164" i="29" s="1" a="1"/>
  <c r="AN164" i="29" a="1"/>
  <c r="E136" i="29"/>
  <c r="P138" i="29"/>
  <c r="I136" i="29"/>
  <c r="N138" i="29"/>
  <c r="E135" i="29"/>
  <c r="W12" i="29"/>
  <c r="P132" i="29"/>
  <c r="N137" i="29"/>
  <c r="I147" i="29"/>
  <c r="AJ149" i="29"/>
  <c r="W9" i="29"/>
  <c r="I132" i="29"/>
  <c r="E132" i="29"/>
  <c r="I135" i="29"/>
  <c r="P135" i="29"/>
  <c r="N132" i="29"/>
  <c r="N135" i="29"/>
  <c r="W14" i="29"/>
  <c r="AB149" i="29"/>
  <c r="P137" i="29"/>
  <c r="I149" i="29"/>
  <c r="AB147" i="29"/>
  <c r="AJ147" i="29"/>
  <c r="M164" i="29" l="1"/>
  <c r="AN164" i="29"/>
  <c r="J168" i="29" a="1"/>
  <c r="J168" i="29"/>
  <c r="D165" i="29" a="1"/>
  <c r="D165" i="29"/>
  <c r="AB148" i="29"/>
  <c r="AJ148" i="29"/>
  <c r="W169" i="29" a="1"/>
  <c r="W169" i="29"/>
  <c r="AA164" i="29" a="1"/>
  <c r="AA164" i="29"/>
  <c r="E169" i="29" a="1"/>
  <c r="E169" i="29"/>
  <c r="AG167" i="29" a="1"/>
  <c r="AG167" i="29"/>
  <c r="AB166" i="29" a="1"/>
  <c r="AB166" i="29"/>
  <c r="I166" i="29" a="1"/>
  <c r="I166" i="29"/>
  <c r="J164" i="29" a="1"/>
  <c r="J164" i="29"/>
  <c r="AB163" i="29" a="1"/>
  <c r="AB163" i="29"/>
  <c r="AE165" i="29" a="1"/>
  <c r="AE165" i="29"/>
  <c r="AC165" i="29" a="1"/>
  <c r="AC165" i="29"/>
  <c r="H163" i="29"/>
  <c r="AJ165" i="29" a="1"/>
  <c r="AJ165" i="29"/>
  <c r="H168" i="29"/>
  <c r="AE163" i="29" a="1"/>
  <c r="AE163" i="29"/>
  <c r="X169" i="29" a="1"/>
  <c r="X169" i="29"/>
  <c r="AB167" i="29" a="1"/>
  <c r="AB167" i="29"/>
  <c r="J163" i="29" a="1"/>
  <c r="J163" i="29"/>
  <c r="AO168" i="29" a="1"/>
  <c r="AO168" i="29"/>
  <c r="W165" i="29" a="1"/>
  <c r="W165" i="29"/>
  <c r="X163" i="29" a="1"/>
  <c r="X163" i="29"/>
  <c r="G167" i="29"/>
  <c r="Z169" i="29" a="1"/>
  <c r="Z169" i="29"/>
  <c r="I168" i="29" a="1"/>
  <c r="I168" i="29"/>
  <c r="D168" i="29" a="1"/>
  <c r="D168" i="29"/>
  <c r="AN169" i="29" a="1"/>
  <c r="AN169" i="29"/>
  <c r="AK169" i="29" a="1"/>
  <c r="AK169" i="29"/>
  <c r="J165" i="29" a="1"/>
  <c r="J165" i="29"/>
  <c r="F168" i="29" a="1"/>
  <c r="F168" i="29"/>
  <c r="AL164" i="29" a="1"/>
  <c r="AL164" i="29"/>
  <c r="H169" i="29"/>
  <c r="AG169" i="29" a="1"/>
  <c r="AG169" i="29"/>
  <c r="A166" i="29"/>
  <c r="AF166" i="29" a="1"/>
  <c r="AF166" i="29"/>
  <c r="AW168" i="29" a="1"/>
  <c r="AW168" i="29"/>
  <c r="AN163" i="29" a="1"/>
  <c r="AN163" i="29"/>
  <c r="AO165" i="29" a="1"/>
  <c r="AO165" i="29"/>
  <c r="AP167" i="29" a="1"/>
  <c r="AP167" i="29"/>
  <c r="G169" i="29"/>
  <c r="AN168" i="29" a="1"/>
  <c r="AN168" i="29"/>
  <c r="AJ166" i="29" a="1"/>
  <c r="AJ166" i="29"/>
  <c r="AM167" i="29" a="1"/>
  <c r="AM167" i="29"/>
  <c r="AA168" i="29" a="1"/>
  <c r="AA168" i="29"/>
  <c r="X164" i="29" a="1"/>
  <c r="X164" i="29"/>
  <c r="J166" i="29" a="1"/>
  <c r="J166" i="29"/>
  <c r="AM169" i="29" a="1"/>
  <c r="AM169" i="29"/>
  <c r="Y169" i="29" a="1"/>
  <c r="Y169" i="29"/>
  <c r="AA167" i="29" a="1"/>
  <c r="AA167" i="29"/>
  <c r="H166" i="29"/>
  <c r="AJ163" i="29" a="1"/>
  <c r="AJ163" i="29"/>
  <c r="Y167" i="29" a="1"/>
  <c r="Y167" i="29"/>
  <c r="AC168" i="29" a="1"/>
  <c r="AC168" i="29"/>
  <c r="E163" i="29" a="1"/>
  <c r="E163" i="29"/>
  <c r="AE164" i="29" a="1"/>
  <c r="AE164" i="29"/>
  <c r="B167" i="29"/>
  <c r="M167" i="29" s="1" a="1"/>
  <c r="AJ169" i="29" a="1"/>
  <c r="E138" i="29"/>
  <c r="W10" i="29"/>
  <c r="P136" i="29"/>
  <c r="I133" i="29"/>
  <c r="I138" i="29"/>
  <c r="N136" i="29"/>
  <c r="P133" i="29"/>
  <c r="W13" i="29"/>
  <c r="N133" i="29"/>
  <c r="E133" i="29"/>
  <c r="M167" i="29" l="1"/>
  <c r="AJ169" i="29"/>
  <c r="AL165" i="29" a="1"/>
  <c r="AL165" i="29"/>
  <c r="AI167" i="29" a="1"/>
  <c r="AI167" i="29"/>
  <c r="AJ164" i="29" a="1"/>
  <c r="AJ164" i="29"/>
  <c r="AW166" i="29" a="1"/>
  <c r="AW166" i="29"/>
  <c r="X165" i="29" a="1"/>
  <c r="X165" i="29"/>
  <c r="I164" i="29" a="1"/>
  <c r="I164" i="29"/>
  <c r="AP169" i="29" a="1"/>
  <c r="AP169" i="29"/>
  <c r="E166" i="29" a="1"/>
  <c r="E166" i="29"/>
  <c r="AO163" i="29" a="1"/>
  <c r="AO163" i="29"/>
  <c r="AI163" i="29" a="1"/>
  <c r="AI163" i="29"/>
  <c r="G164" i="29"/>
  <c r="AK164" i="29" a="1"/>
  <c r="AK164" i="29"/>
  <c r="AB168" i="29" a="1"/>
  <c r="AB168" i="29"/>
  <c r="AL169" i="29" a="1"/>
  <c r="AL169" i="29"/>
  <c r="E164" i="29" a="1"/>
  <c r="E164" i="29"/>
  <c r="AD169" i="29" a="1"/>
  <c r="AD169" i="29"/>
  <c r="AN166" i="29" a="1"/>
  <c r="AN166" i="29"/>
  <c r="Z166" i="29" a="1"/>
  <c r="Z166" i="29"/>
  <c r="A164" i="29"/>
  <c r="D169" i="29" a="1"/>
  <c r="D169" i="29"/>
  <c r="A169" i="29"/>
  <c r="AB164" i="29" a="1"/>
  <c r="AB164" i="29"/>
  <c r="G168" i="29"/>
  <c r="AK166" i="29" a="1"/>
  <c r="AK166" i="29"/>
  <c r="AH166" i="29" a="1"/>
  <c r="AH166" i="29"/>
  <c r="E168" i="29" a="1"/>
  <c r="E168" i="29"/>
  <c r="Z164" i="29" a="1"/>
  <c r="Z164" i="29"/>
  <c r="AB156" i="29"/>
  <c r="W168" i="29" a="1"/>
  <c r="W168" i="29"/>
  <c r="A168" i="29"/>
  <c r="AF168" i="29" a="1"/>
  <c r="AF168" i="29"/>
  <c r="AM165" i="29" a="1"/>
  <c r="AM165" i="29"/>
  <c r="AB169" i="29" a="1"/>
  <c r="AB169" i="29"/>
  <c r="AO166" i="29" a="1"/>
  <c r="AO166" i="29"/>
  <c r="AL163" i="29" a="1"/>
  <c r="AL163" i="29"/>
  <c r="AI166" i="29" a="1"/>
  <c r="AI166" i="29"/>
  <c r="G165" i="29"/>
  <c r="AI169" i="29" a="1"/>
  <c r="AI169" i="29"/>
  <c r="H167" i="29"/>
  <c r="AL168" i="29" a="1"/>
  <c r="AL168" i="29"/>
  <c r="AP168" i="29" a="1"/>
  <c r="AP168" i="29"/>
  <c r="A157" i="29"/>
  <c r="AD165" i="29" a="1"/>
  <c r="AD165" i="29"/>
  <c r="G166" i="29"/>
  <c r="AJ168" i="29" a="1"/>
  <c r="AJ168" i="29"/>
  <c r="AW165" i="29" a="1"/>
  <c r="AW165" i="29"/>
  <c r="AH169" i="29" a="1"/>
  <c r="AH169" i="29"/>
  <c r="AW167" i="29" a="1"/>
  <c r="AW167" i="29"/>
  <c r="AL166" i="29" a="1"/>
  <c r="AL166" i="29"/>
  <c r="F163" i="29" a="1"/>
  <c r="F163" i="29"/>
  <c r="B165" i="29"/>
  <c r="M165" i="29" s="1" a="1"/>
  <c r="AG168" i="29" a="1"/>
  <c r="M165" i="29" l="1"/>
  <c r="AG168" i="29"/>
  <c r="AF169" i="29" a="1"/>
  <c r="AF169" i="29"/>
  <c r="J167" i="29" a="1"/>
  <c r="J167" i="29"/>
  <c r="A167" i="29"/>
  <c r="I167" i="29" a="1"/>
  <c r="I167" i="29"/>
  <c r="AF167" i="29" a="1"/>
  <c r="AF167" i="29"/>
  <c r="Y166" i="29" a="1"/>
  <c r="Y166" i="29"/>
  <c r="J157" i="29" a="1"/>
  <c r="J157" i="29"/>
  <c r="AL157" i="29"/>
  <c r="AA163" i="29" a="1"/>
  <c r="AA163" i="29"/>
  <c r="B163" i="29"/>
  <c r="M163" i="29" s="1" a="1"/>
  <c r="X156" i="29" a="1"/>
  <c r="M163" i="29" l="1"/>
  <c r="X156" i="29"/>
  <c r="AM157" i="29"/>
  <c r="Y163" i="29" a="1"/>
  <c r="Y163" i="29"/>
  <c r="A165" i="29"/>
  <c r="F169" i="29" a="1"/>
  <c r="F169" i="29"/>
  <c r="AP163" i="29" a="1"/>
  <c r="AP163" i="29"/>
  <c r="AH167" i="29" a="1"/>
  <c r="AH167" i="29"/>
  <c r="A156" i="29"/>
  <c r="AF163" i="29" a="1"/>
  <c r="AF163" i="29"/>
  <c r="D164" i="29" a="1"/>
  <c r="D164" i="29"/>
  <c r="AA166" i="29" a="1"/>
  <c r="AA166" i="29"/>
  <c r="AH156" i="29"/>
  <c r="AD168" i="29" a="1"/>
  <c r="AD168" i="29"/>
  <c r="D163" i="29" a="1"/>
  <c r="D163" i="29"/>
  <c r="AM163" i="29" a="1"/>
  <c r="AM163" i="29"/>
  <c r="AE157" i="29" a="1"/>
  <c r="AE157" i="29"/>
  <c r="A163" i="29"/>
  <c r="W166" i="29" a="1"/>
  <c r="W166" i="29"/>
  <c r="H164" i="29"/>
  <c r="AO167" i="29" a="1"/>
  <c r="AO167" i="29"/>
  <c r="AK168" i="29" a="1"/>
  <c r="AK168" i="29"/>
  <c r="AA169" i="29" a="1"/>
  <c r="AA169" i="29"/>
  <c r="Y165" i="29" a="1"/>
  <c r="Y165" i="29"/>
  <c r="X166" i="29" a="1"/>
  <c r="X166" i="29"/>
  <c r="E167" i="29" a="1"/>
  <c r="E167" i="29"/>
  <c r="Z167" i="29" a="1"/>
  <c r="Z167" i="29"/>
  <c r="AD163" i="29" a="1"/>
  <c r="AD163" i="29"/>
  <c r="AC166" i="29" a="1"/>
  <c r="AC166" i="29"/>
  <c r="AW163" i="29" a="1"/>
  <c r="AW163" i="29"/>
  <c r="AG165" i="29" a="1"/>
  <c r="AG165" i="29"/>
  <c r="I165" i="29" a="1"/>
  <c r="I165" i="29"/>
  <c r="AC167" i="29" a="1"/>
  <c r="AC167" i="29"/>
  <c r="D167" i="29" a="1"/>
  <c r="D167" i="29"/>
  <c r="AW164" i="29" a="1"/>
  <c r="AW164" i="29"/>
  <c r="AE167" i="29" a="1"/>
  <c r="AE167" i="29"/>
  <c r="AK165" i="29" a="1"/>
  <c r="AK165" i="29"/>
  <c r="AH168" i="29" a="1"/>
  <c r="AH168" i="29"/>
  <c r="AD167" i="29" a="1"/>
  <c r="AD167" i="29"/>
  <c r="AG164" i="29" a="1"/>
  <c r="AG164" i="29"/>
  <c r="I169" i="29" a="1"/>
  <c r="I169" i="29"/>
  <c r="AG163" i="29" a="1"/>
  <c r="AG163" i="29"/>
  <c r="AJ157" i="29"/>
  <c r="AP166" i="29" a="1"/>
  <c r="AP166" i="29"/>
  <c r="AF165" i="29" a="1"/>
  <c r="AF165" i="29"/>
  <c r="W163" i="29" a="1"/>
  <c r="W163" i="29"/>
  <c r="E165" i="29" a="1"/>
  <c r="E165" i="29"/>
  <c r="AI165" i="29" a="1"/>
  <c r="AI165" i="29"/>
  <c r="AF164" i="29" a="1"/>
  <c r="AF164" i="29"/>
  <c r="AH157" i="29"/>
  <c r="AG166" i="29" a="1"/>
  <c r="AG166" i="29"/>
  <c r="AD164" i="29" a="1"/>
  <c r="AD164" i="29"/>
  <c r="B166" i="29"/>
  <c r="X167" i="29" a="1"/>
  <c r="X167" i="29"/>
  <c r="F167" i="29" a="1"/>
  <c r="F167" i="29"/>
  <c r="AO164" i="29" a="1"/>
  <c r="AO164" i="29"/>
  <c r="J169" i="29" a="1"/>
  <c r="J169" i="29"/>
  <c r="AO169" i="29" a="1"/>
  <c r="AO169" i="29"/>
  <c r="I163" i="29" a="1"/>
  <c r="I163" i="29"/>
  <c r="Y164" i="29" a="1"/>
  <c r="Y164" i="29"/>
  <c r="AH165" i="29" a="1"/>
  <c r="AH165" i="29"/>
  <c r="AW157" i="29" a="1"/>
  <c r="AW157" i="29"/>
  <c r="B169" i="29"/>
  <c r="M169" i="29" s="1" a="1"/>
  <c r="M166" i="29" a="1"/>
  <c r="M169" i="29" l="1"/>
  <c r="M166" i="29"/>
  <c r="F164" i="29" a="1"/>
  <c r="F164" i="29"/>
  <c r="AI164" i="29" a="1"/>
  <c r="AI164" i="29"/>
  <c r="AA165" i="29" a="1"/>
  <c r="AA165" i="29"/>
  <c r="AL156" i="29"/>
  <c r="AC169" i="29" a="1"/>
  <c r="AC169" i="29"/>
  <c r="W167" i="29" a="1"/>
  <c r="W167" i="29"/>
  <c r="AC163" i="29" a="1"/>
  <c r="AC163" i="29"/>
  <c r="AI168" i="29" a="1"/>
  <c r="AI168" i="29"/>
  <c r="AK167" i="29" a="1"/>
  <c r="AK167" i="29"/>
  <c r="AD157" i="29"/>
  <c r="W164" i="29" a="1"/>
  <c r="W164" i="29"/>
  <c r="AK163" i="29" a="1"/>
  <c r="AK163" i="29"/>
  <c r="AM168" i="29" a="1"/>
  <c r="AM168" i="29"/>
  <c r="B168" i="29"/>
  <c r="M168" i="29" s="1" a="1"/>
  <c r="AP165" i="29" a="1"/>
  <c r="M168" i="29" l="1"/>
  <c r="AP165" i="29"/>
  <c r="AB165" i="29" a="1"/>
  <c r="AB165" i="29"/>
  <c r="AJ167" i="29" a="1"/>
  <c r="AJ167" i="29"/>
  <c r="AP164" i="29" a="1"/>
  <c r="AP164" i="29"/>
  <c r="AN165" i="29" a="1"/>
  <c r="AN165" i="29"/>
  <c r="Y168" i="29" a="1"/>
  <c r="Y168" i="29"/>
  <c r="D166" i="29" a="1"/>
  <c r="D166" i="29"/>
  <c r="AE169" i="29" a="1"/>
  <c r="AE169" i="29"/>
  <c r="AE168" i="29" a="1"/>
  <c r="AE168" i="29"/>
  <c r="F156" i="29"/>
  <c r="X168" i="29" a="1"/>
  <c r="X168" i="29"/>
  <c r="AA156" i="29" a="1"/>
  <c r="AA156" i="29"/>
  <c r="AO157" i="29" a="1"/>
  <c r="AO157" i="29"/>
  <c r="M148" i="29"/>
  <c r="AD166" i="29" a="1"/>
  <c r="AD166" i="29"/>
  <c r="F165" i="29" a="1"/>
  <c r="F165" i="29"/>
  <c r="AB157" i="29"/>
  <c r="H157" i="29" a="1"/>
  <c r="H157" i="29"/>
  <c r="AM156" i="29"/>
  <c r="B156" i="29"/>
  <c r="M156" i="29" s="1" a="1"/>
  <c r="AD156" i="29"/>
  <c r="F166" i="29" a="1"/>
  <c r="M156" i="29" l="1"/>
  <c r="F166" i="29"/>
  <c r="AF157" i="29"/>
  <c r="AJ156" i="29"/>
  <c r="AH164" i="29" a="1"/>
  <c r="AH164" i="29"/>
  <c r="AW156" i="29" a="1"/>
  <c r="AW156" i="29"/>
  <c r="AC157" i="29"/>
  <c r="AF156" i="29"/>
  <c r="I157" i="29" a="1"/>
  <c r="I157" i="29"/>
  <c r="AP157" i="29" a="1"/>
  <c r="AP157" i="29"/>
  <c r="Z156" i="29" a="1"/>
  <c r="Z156" i="29"/>
  <c r="F157" i="29"/>
  <c r="J156" i="29" a="1"/>
  <c r="J156" i="29"/>
  <c r="D148" i="29"/>
  <c r="X157" i="29" a="1"/>
  <c r="X157" i="29"/>
  <c r="AP156" i="29" a="1"/>
  <c r="AP156" i="29"/>
  <c r="AO156" i="29" a="1"/>
  <c r="AO156" i="29"/>
  <c r="AA157" i="29" a="1"/>
  <c r="AA157" i="29"/>
  <c r="G156" i="29" a="1"/>
  <c r="G156" i="29"/>
  <c r="A148" i="29"/>
  <c r="G148" i="29"/>
  <c r="U148" i="29"/>
  <c r="AC148" i="29"/>
  <c r="AC156" i="29"/>
  <c r="G157" i="29" a="1"/>
  <c r="A149" i="29"/>
  <c r="AA149" i="29" a="1"/>
  <c r="H149" i="29"/>
  <c r="AK149" i="29"/>
  <c r="U149" i="29"/>
  <c r="AI149" i="29"/>
  <c r="AC149" i="29"/>
  <c r="T147" i="29"/>
  <c r="AI147" i="29"/>
  <c r="D147" i="29"/>
  <c r="T149" i="29"/>
  <c r="AA149" i="29" l="1"/>
  <c r="G157" i="29"/>
  <c r="D156" i="29" a="1"/>
  <c r="D156" i="29"/>
  <c r="AN156" i="29" a="1"/>
  <c r="AN156" i="29"/>
  <c r="AK156" i="29"/>
  <c r="AI157" i="29"/>
  <c r="AI156" i="29"/>
  <c r="I156" i="29" a="1"/>
  <c r="I156" i="29"/>
  <c r="E148" i="29"/>
  <c r="AE148" i="29" s="1"/>
  <c r="AE156" i="29" a="1"/>
  <c r="AE156" i="29"/>
  <c r="AI148" i="29"/>
  <c r="AA148" i="29" a="1"/>
  <c r="AA148" i="29"/>
  <c r="B148" i="29"/>
  <c r="D157" i="29" a="1"/>
  <c r="D157" i="29"/>
  <c r="AN157" i="29" a="1"/>
  <c r="AN157" i="29"/>
  <c r="Z157" i="29" a="1"/>
  <c r="Z157" i="29"/>
  <c r="L3" i="32" a="1"/>
  <c r="L3" i="32"/>
  <c r="J148" i="29"/>
  <c r="H156" i="29" a="1"/>
  <c r="H156" i="29"/>
  <c r="B157" i="29"/>
  <c r="M157" i="29" s="1" a="1"/>
  <c r="AK148" i="29"/>
  <c r="M147" i="29"/>
  <c r="M149" i="29"/>
  <c r="J147" i="29"/>
  <c r="E147" i="29"/>
  <c r="A147" i="29"/>
  <c r="B147" i="29"/>
  <c r="J149" i="29"/>
  <c r="E149" i="29"/>
  <c r="B149" i="29"/>
  <c r="AA147" i="29" a="1"/>
  <c r="D149" i="29"/>
  <c r="G149" i="29"/>
  <c r="G147" i="29"/>
  <c r="AA147" i="29" l="1"/>
  <c r="M157" i="29"/>
  <c r="T148" i="29"/>
  <c r="AK157" i="29"/>
  <c r="H148" i="29"/>
  <c r="U177" i="29" a="1"/>
  <c r="U175" i="29" a="1"/>
  <c r="U176" i="29" a="1"/>
  <c r="U178" i="29" a="1"/>
  <c r="H147" i="29"/>
  <c r="AC147" i="29"/>
  <c r="U147" i="29"/>
  <c r="AK147" i="29"/>
  <c r="AE147" i="29"/>
  <c r="AE149" i="29"/>
  <c r="U176" i="29" l="1"/>
  <c r="U175" i="29"/>
  <c r="U178" i="29"/>
  <c r="U177" i="29"/>
  <c r="H2" i="29"/>
  <c r="Z25" i="29" l="1" a="1"/>
  <c r="Z25" i="29" s="1"/>
  <c r="S28" i="29" l="1"/>
  <c r="S29" i="29" s="1"/>
  <c r="S30" i="29" s="1"/>
  <c r="S31" i="29" s="1"/>
  <c r="S32" i="29" s="1"/>
  <c r="S33" i="29" s="1"/>
  <c r="S34" i="29" s="1"/>
  <c r="S35" i="29" s="1"/>
  <c r="S36" i="29" s="1"/>
  <c r="S37" i="29" s="1"/>
  <c r="S38" i="29" s="1"/>
  <c r="S39" i="29" s="1"/>
  <c r="S40" i="29" s="1"/>
  <c r="B228" i="29" l="1"/>
  <c r="V266" i="29" l="1"/>
  <c r="G264" i="29"/>
  <c r="G266" i="29" s="1"/>
  <c r="AY266" i="29" s="1"/>
  <c r="F264" i="29"/>
  <c r="H253" i="29"/>
  <c r="D253" i="29"/>
  <c r="C253" i="29"/>
  <c r="F252" i="29"/>
  <c r="H251" i="29"/>
  <c r="D251" i="29"/>
  <c r="C251" i="29"/>
  <c r="H247" i="29"/>
  <c r="D247" i="29"/>
  <c r="C247" i="29"/>
  <c r="H246" i="29"/>
  <c r="D246" i="29"/>
  <c r="C246" i="29"/>
  <c r="H242" i="29"/>
  <c r="D242" i="29"/>
  <c r="C242" i="29"/>
  <c r="AY221" i="29"/>
  <c r="N221" i="29"/>
  <c r="M221" i="29"/>
  <c r="K221" i="29"/>
  <c r="C221" i="29"/>
  <c r="G213" i="29"/>
  <c r="G214" i="29" s="1"/>
  <c r="H264" i="29" l="1"/>
  <c r="H266" i="29" s="1"/>
  <c r="AX266" i="29"/>
  <c r="AW207" i="29"/>
  <c r="H213" i="29" l="1"/>
  <c r="M213" i="29" s="1"/>
  <c r="M214" i="29" s="1"/>
  <c r="C252" i="29" s="1"/>
  <c r="N213" i="29"/>
  <c r="J207" i="29"/>
  <c r="I207" i="29"/>
  <c r="AW206" i="29"/>
  <c r="H214" i="29" l="1"/>
  <c r="D252" i="29" s="1"/>
  <c r="I213" i="29"/>
  <c r="I214" i="29" s="1"/>
  <c r="H252" i="29" s="1"/>
  <c r="P207" i="29"/>
  <c r="Q207" i="29" s="1"/>
  <c r="K213" i="29"/>
  <c r="K214" i="29" s="1"/>
  <c r="AX214" i="29"/>
  <c r="I252" i="29" s="1"/>
  <c r="F207" i="29"/>
  <c r="J206" i="29"/>
  <c r="I206" i="29"/>
  <c r="F206" i="29"/>
  <c r="AW205" i="29"/>
  <c r="AY214" i="29" l="1"/>
  <c r="J252" i="29" s="1"/>
  <c r="P206" i="29"/>
  <c r="Q206" i="29" s="1"/>
  <c r="J205" i="29"/>
  <c r="I205" i="29"/>
  <c r="AW204" i="29"/>
  <c r="P205" i="29" l="1"/>
  <c r="Q205" i="29" s="1"/>
  <c r="F205" i="29"/>
  <c r="J204" i="29"/>
  <c r="I204" i="29"/>
  <c r="AW203" i="29"/>
  <c r="F204" i="29" l="1"/>
  <c r="P204" i="29"/>
  <c r="Q204" i="29" s="1"/>
  <c r="J203" i="29"/>
  <c r="F203" i="29" s="1"/>
  <c r="I203" i="29"/>
  <c r="AW202" i="29"/>
  <c r="P203" i="29" l="1"/>
  <c r="Q203" i="29" s="1"/>
  <c r="J202" i="29"/>
  <c r="I202" i="29"/>
  <c r="AW201" i="29"/>
  <c r="P202" i="29" l="1"/>
  <c r="Q202" i="29" s="1"/>
  <c r="F202" i="29"/>
  <c r="J201" i="29"/>
  <c r="I201" i="29"/>
  <c r="AW200" i="29"/>
  <c r="P201" i="29" l="1"/>
  <c r="Q201" i="29" s="1"/>
  <c r="F201" i="29"/>
  <c r="J200" i="29"/>
  <c r="I200" i="29"/>
  <c r="AW199" i="29"/>
  <c r="P200" i="29" l="1"/>
  <c r="Q200" i="29" s="1"/>
  <c r="F200" i="29"/>
  <c r="J199" i="29"/>
  <c r="I199" i="29"/>
  <c r="F199" i="29"/>
  <c r="AW198" i="29"/>
  <c r="P199" i="29" l="1"/>
  <c r="Q199" i="29" s="1"/>
  <c r="J198" i="29"/>
  <c r="I198" i="29"/>
  <c r="AW197" i="29"/>
  <c r="P198" i="29" l="1"/>
  <c r="Q198" i="29" s="1"/>
  <c r="F198" i="29"/>
  <c r="J197" i="29"/>
  <c r="I197" i="29"/>
  <c r="AW196" i="29"/>
  <c r="P197" i="29" l="1"/>
  <c r="Q197" i="29" s="1"/>
  <c r="F197" i="29"/>
  <c r="J196" i="29"/>
  <c r="I196" i="29"/>
  <c r="AW195" i="29"/>
  <c r="P196" i="29" l="1"/>
  <c r="Q196" i="29" s="1"/>
  <c r="F196" i="29"/>
  <c r="J195" i="29"/>
  <c r="I195" i="29"/>
  <c r="AW194" i="29"/>
  <c r="P195" i="29" l="1"/>
  <c r="Q195" i="29" s="1"/>
  <c r="F195" i="29"/>
  <c r="J194" i="29"/>
  <c r="I194" i="29"/>
  <c r="AW193" i="29"/>
  <c r="P194" i="29" l="1"/>
  <c r="Q194" i="29" s="1"/>
  <c r="F194" i="29"/>
  <c r="J193" i="29"/>
  <c r="I193" i="29"/>
  <c r="AW187" i="29"/>
  <c r="O208" i="29" l="1"/>
  <c r="G208" i="29"/>
  <c r="AY208" i="29"/>
  <c r="P193" i="29"/>
  <c r="N208" i="29"/>
  <c r="J208" i="29"/>
  <c r="AX208" i="29"/>
  <c r="F193" i="29"/>
  <c r="F208" i="29" s="1"/>
  <c r="I208" i="29"/>
  <c r="P208" i="29" l="1"/>
  <c r="Q193" i="29"/>
  <c r="Q208" i="29" s="1" a="1"/>
  <c r="Q208" i="29" s="1"/>
  <c r="V187" i="29"/>
  <c r="U187" i="29"/>
  <c r="T187" i="29"/>
  <c r="N187" i="29"/>
  <c r="AS187" i="29" l="1"/>
  <c r="N188" i="29"/>
  <c r="AW178" i="29"/>
  <c r="O187" i="29"/>
  <c r="O188" i="29" l="1"/>
  <c r="AY188" i="29" s="1"/>
  <c r="J187" i="29"/>
  <c r="S187" i="29"/>
  <c r="S188" i="29" s="1"/>
  <c r="P187" i="29"/>
  <c r="I188" i="29"/>
  <c r="T178" i="29"/>
  <c r="S178" i="29"/>
  <c r="AX188" i="29" l="1"/>
  <c r="P178" i="29"/>
  <c r="Q178" i="29" s="1"/>
  <c r="P188" i="29"/>
  <c r="Q187" i="29"/>
  <c r="Q188" i="29" s="1"/>
  <c r="AW177" i="29"/>
  <c r="T177" i="29" l="1"/>
  <c r="S177" i="29"/>
  <c r="P177" i="29" l="1"/>
  <c r="Q177" i="29" s="1"/>
  <c r="AW176" i="29"/>
  <c r="T176" i="29" l="1"/>
  <c r="S176" i="29"/>
  <c r="P176" i="29" l="1"/>
  <c r="Q176" i="29" s="1"/>
  <c r="AW175" i="29"/>
  <c r="T175" i="29" l="1"/>
  <c r="S175" i="29"/>
  <c r="F251" i="29" l="1" a="1"/>
  <c r="F251" i="29" s="1"/>
  <c r="F253" i="29" a="1"/>
  <c r="F253" i="29" s="1"/>
  <c r="F242" i="29" a="1"/>
  <c r="F242" i="29" s="1"/>
  <c r="F247" i="29" a="1"/>
  <c r="F247" i="29" s="1"/>
  <c r="F246" i="29" a="1"/>
  <c r="F246" i="29" s="1"/>
  <c r="K179" i="29"/>
  <c r="H179" i="29" s="1"/>
  <c r="N179" i="29"/>
  <c r="I253" i="29" a="1"/>
  <c r="I253" i="29" s="1"/>
  <c r="I242" i="29" a="1"/>
  <c r="I242" i="29" s="1"/>
  <c r="J247" i="29" a="1"/>
  <c r="J247" i="29" s="1"/>
  <c r="J251" i="29" a="1"/>
  <c r="J251" i="29" s="1"/>
  <c r="I247" i="29" a="1"/>
  <c r="I247" i="29" s="1"/>
  <c r="I246" i="29" a="1"/>
  <c r="I246" i="29" s="1"/>
  <c r="J253" i="29" a="1"/>
  <c r="J253" i="29" s="1"/>
  <c r="J242" i="29" a="1"/>
  <c r="J242" i="29" s="1"/>
  <c r="I251" i="29" a="1"/>
  <c r="I251" i="29" s="1"/>
  <c r="J246" i="29" a="1"/>
  <c r="J246" i="29" s="1"/>
  <c r="O179" i="29"/>
  <c r="AX179" i="29" s="1"/>
  <c r="P175" i="29"/>
  <c r="AR169" i="29"/>
  <c r="U169" i="29"/>
  <c r="AR168" i="29"/>
  <c r="U168" i="29"/>
  <c r="AR167" i="29"/>
  <c r="U167" i="29"/>
  <c r="AR166" i="29"/>
  <c r="U166" i="29"/>
  <c r="AR165" i="29"/>
  <c r="U165" i="29"/>
  <c r="AR164" i="29"/>
  <c r="U164" i="29"/>
  <c r="AR163" i="29"/>
  <c r="U163" i="29"/>
  <c r="AR157" i="29"/>
  <c r="Y157" i="29"/>
  <c r="AQ164" i="29" l="1"/>
  <c r="AQ168" i="29"/>
  <c r="AY179" i="29"/>
  <c r="P179" i="29"/>
  <c r="Q175" i="29"/>
  <c r="Q179" i="29" s="1"/>
  <c r="U157" i="29"/>
  <c r="AR156" i="29"/>
  <c r="Y156" i="29"/>
  <c r="N167" i="29"/>
  <c r="N168" i="29"/>
  <c r="N169" i="29"/>
  <c r="N163" i="29"/>
  <c r="N165" i="29"/>
  <c r="N164" i="29"/>
  <c r="N166" i="29"/>
  <c r="V168" i="29" l="1"/>
  <c r="V166" i="29"/>
  <c r="V165" i="29"/>
  <c r="V163" i="29"/>
  <c r="V164" i="29"/>
  <c r="V167" i="29"/>
  <c r="V169" i="29"/>
  <c r="N170" i="29"/>
  <c r="AQ157" i="29"/>
  <c r="AQ169" i="29"/>
  <c r="AQ165" i="29"/>
  <c r="H254" i="29"/>
  <c r="D255" i="29"/>
  <c r="C255" i="29"/>
  <c r="D254" i="29"/>
  <c r="C254" i="29"/>
  <c r="H255" i="29"/>
  <c r="AQ166" i="29"/>
  <c r="AQ167" i="29"/>
  <c r="AQ163" i="29"/>
  <c r="U156" i="29"/>
  <c r="O167" i="29"/>
  <c r="O169" i="29"/>
  <c r="O163" i="29"/>
  <c r="O168" i="29"/>
  <c r="O164" i="29"/>
  <c r="N157" i="29"/>
  <c r="O166" i="29"/>
  <c r="O165" i="29"/>
  <c r="D250" i="29" l="1"/>
  <c r="D245" i="29"/>
  <c r="P167" i="29"/>
  <c r="Q167" i="29" s="1"/>
  <c r="S167" i="29"/>
  <c r="T167" i="29"/>
  <c r="P163" i="29"/>
  <c r="Q163" i="29" s="1"/>
  <c r="T163" i="29"/>
  <c r="C245" i="29" s="1"/>
  <c r="S163" i="29"/>
  <c r="P169" i="29"/>
  <c r="Q169" i="29" s="1"/>
  <c r="P165" i="29"/>
  <c r="Q165" i="29" s="1"/>
  <c r="T165" i="29"/>
  <c r="S165" i="29"/>
  <c r="P166" i="29"/>
  <c r="Q166" i="29" s="1"/>
  <c r="T166" i="29"/>
  <c r="S166" i="29"/>
  <c r="T168" i="29"/>
  <c r="S168" i="29"/>
  <c r="P168" i="29"/>
  <c r="Q168" i="29" s="1"/>
  <c r="D249" i="29"/>
  <c r="I249" i="29" s="1" a="1"/>
  <c r="I249" i="29" s="1"/>
  <c r="S169" i="29"/>
  <c r="P164" i="29"/>
  <c r="Q164" i="29" s="1"/>
  <c r="Q170" i="29" s="1"/>
  <c r="J255" i="29" a="1"/>
  <c r="J255" i="29" s="1"/>
  <c r="T164" i="29"/>
  <c r="C249" i="29" s="1"/>
  <c r="I255" i="29" a="1"/>
  <c r="I255" i="29" s="1"/>
  <c r="S164" i="29"/>
  <c r="O170" i="29"/>
  <c r="H170" i="29" s="1"/>
  <c r="I245" i="29" a="1"/>
  <c r="I245" i="29" s="1"/>
  <c r="I254" i="29" a="1"/>
  <c r="I254" i="29" s="1"/>
  <c r="T169" i="29"/>
  <c r="I250" i="29" a="1"/>
  <c r="I250" i="29" s="1"/>
  <c r="F255" i="29" a="1"/>
  <c r="F255" i="29" s="1"/>
  <c r="J245" i="29" a="1"/>
  <c r="J245" i="29" s="1"/>
  <c r="J250" i="29" a="1"/>
  <c r="J250" i="29" s="1"/>
  <c r="F250" i="29" a="1"/>
  <c r="F250" i="29" s="1"/>
  <c r="F245" i="29" a="1"/>
  <c r="F245" i="29" s="1"/>
  <c r="F254" i="29" a="1"/>
  <c r="F254" i="29" s="1"/>
  <c r="J254" i="29" a="1"/>
  <c r="J254" i="29" s="1"/>
  <c r="AQ156" i="29"/>
  <c r="AG157" i="29"/>
  <c r="V157" i="29"/>
  <c r="O157" i="29"/>
  <c r="H249" i="29" l="1"/>
  <c r="C250" i="29"/>
  <c r="H250" i="29"/>
  <c r="T170" i="29"/>
  <c r="S170" i="29"/>
  <c r="H245" i="29"/>
  <c r="J249" i="29" a="1"/>
  <c r="J249" i="29" s="1"/>
  <c r="F249" i="29" a="1"/>
  <c r="F249" i="29" s="1"/>
  <c r="P170" i="29"/>
  <c r="AY170" i="29"/>
  <c r="AX170" i="29"/>
  <c r="T157" i="29"/>
  <c r="S157" i="29"/>
  <c r="P157" i="29"/>
  <c r="Q157" i="29" s="1"/>
  <c r="N156" i="29"/>
  <c r="AR155" i="29" l="1"/>
  <c r="Y155" i="29"/>
  <c r="V156" i="29" l="1"/>
  <c r="AG156" i="29"/>
  <c r="U155" i="29"/>
  <c r="AW149" i="29"/>
  <c r="O156" i="29"/>
  <c r="T156" i="29" l="1"/>
  <c r="S156" i="29"/>
  <c r="P156" i="29"/>
  <c r="Q156" i="29" s="1"/>
  <c r="AQ155" i="29"/>
  <c r="N155" i="29"/>
  <c r="N158" i="29" l="1"/>
  <c r="V155" i="29"/>
  <c r="AG155" i="29"/>
  <c r="AD149" i="29"/>
  <c r="F149" i="29"/>
  <c r="O155" i="29"/>
  <c r="O158" i="29" l="1"/>
  <c r="P158" i="29" s="1"/>
  <c r="AY158" i="29"/>
  <c r="AX158" i="29"/>
  <c r="T155" i="29"/>
  <c r="S155" i="29"/>
  <c r="S158" i="29" s="1"/>
  <c r="D248" i="29"/>
  <c r="F248" i="29" s="1" a="1"/>
  <c r="F248" i="29" s="1"/>
  <c r="P155" i="29"/>
  <c r="F158" i="29"/>
  <c r="I248" i="29" l="1" a="1"/>
  <c r="I248" i="29" s="1"/>
  <c r="T158" i="29"/>
  <c r="C248" i="29"/>
  <c r="J248" i="29" a="1"/>
  <c r="J248" i="29" s="1"/>
  <c r="H248" i="29"/>
  <c r="Q155" i="29"/>
  <c r="Q158" i="29" s="1"/>
  <c r="Y149" i="29" l="1"/>
  <c r="W149" i="29"/>
  <c r="X149" i="29" l="1"/>
  <c r="Q149" i="29"/>
  <c r="AW148" i="29"/>
  <c r="N149" i="29"/>
  <c r="V149" i="29"/>
  <c r="P149" i="29" l="1"/>
  <c r="S149" i="29"/>
  <c r="AD148" i="29"/>
  <c r="AF149" i="29"/>
  <c r="F148" i="29"/>
  <c r="Y148" i="29" l="1"/>
  <c r="W148" i="29"/>
  <c r="O149" i="29"/>
  <c r="AH149" i="29" l="1"/>
  <c r="X148" i="29"/>
  <c r="Q148" i="29"/>
  <c r="AW147" i="29"/>
  <c r="V148" i="29"/>
  <c r="N148" i="29"/>
  <c r="P148" i="29" l="1"/>
  <c r="S148" i="29"/>
  <c r="AD147" i="29"/>
  <c r="AF148" i="29"/>
  <c r="F147" i="29"/>
  <c r="Y147" i="29" l="1"/>
  <c r="W147" i="29"/>
  <c r="O148" i="29"/>
  <c r="AH148" i="29" l="1"/>
  <c r="C244" i="29"/>
  <c r="H244" i="29"/>
  <c r="B244" i="29"/>
  <c r="D244" i="29"/>
  <c r="X147" i="29" l="1"/>
  <c r="Q147" i="29"/>
  <c r="G244" i="29"/>
  <c r="AF147" i="29"/>
  <c r="V147" i="29"/>
  <c r="N147" i="29"/>
  <c r="P147" i="29" l="1"/>
  <c r="F244" i="29" a="1"/>
  <c r="F244" i="29" s="1"/>
  <c r="AF150" i="29"/>
  <c r="V150" i="29"/>
  <c r="S147" i="29"/>
  <c r="S150" i="29" s="1"/>
  <c r="C243" i="29"/>
  <c r="F243" i="29" s="1" a="1"/>
  <c r="F243" i="29" s="1"/>
  <c r="I150" i="29"/>
  <c r="N150" i="29"/>
  <c r="Q150" i="29" s="1"/>
  <c r="H138" i="29"/>
  <c r="O147" i="29"/>
  <c r="E244" i="29" l="1" a="1"/>
  <c r="E244" i="29" s="1"/>
  <c r="E150" i="29"/>
  <c r="L150" i="29"/>
  <c r="O150" i="29"/>
  <c r="AY150" i="29" s="1"/>
  <c r="AH147" i="29"/>
  <c r="AH150" i="29" s="1"/>
  <c r="J244" i="29" a="1"/>
  <c r="J244" i="29" s="1"/>
  <c r="D243" i="29"/>
  <c r="E243" i="29" s="1" a="1"/>
  <c r="E243" i="29" s="1"/>
  <c r="I244" i="29" a="1"/>
  <c r="I244" i="29" s="1"/>
  <c r="P150" i="29"/>
  <c r="H243" i="29"/>
  <c r="B243" i="29"/>
  <c r="H137" i="29"/>
  <c r="I137" i="29" s="1"/>
  <c r="E137" i="29"/>
  <c r="H136" i="29"/>
  <c r="AX150" i="29" l="1"/>
  <c r="AG147" i="29"/>
  <c r="J243" i="29" a="1"/>
  <c r="J243" i="29" s="1"/>
  <c r="I243" i="29" a="1"/>
  <c r="I243" i="29" s="1"/>
  <c r="F150" i="29"/>
  <c r="AG148" i="29"/>
  <c r="AG149" i="29"/>
  <c r="G243" i="29"/>
  <c r="H135" i="29"/>
  <c r="AG150" i="29" l="1"/>
  <c r="H134" i="29"/>
  <c r="H133" i="29" l="1"/>
  <c r="H132" i="29" l="1"/>
  <c r="P131" i="29" l="1"/>
  <c r="P139" i="29" s="1"/>
  <c r="N131" i="29"/>
  <c r="H131" i="29"/>
  <c r="I131" i="29" s="1"/>
  <c r="E131" i="29"/>
  <c r="A93" i="29"/>
  <c r="A92" i="29"/>
  <c r="A91" i="29"/>
  <c r="A90" i="29"/>
  <c r="A89" i="29"/>
  <c r="A88" i="29"/>
  <c r="A87" i="29"/>
  <c r="A86" i="29"/>
  <c r="A85" i="29"/>
  <c r="A83" i="29"/>
  <c r="A82" i="29"/>
  <c r="A77" i="29" a="1"/>
  <c r="A77" i="29" s="1"/>
  <c r="A76" i="29"/>
  <c r="A75" i="29"/>
  <c r="A74" i="29"/>
  <c r="S61" i="29"/>
  <c r="I61" i="29"/>
  <c r="S60" i="29"/>
  <c r="I60" i="29"/>
  <c r="I52" i="29"/>
  <c r="H48" i="29"/>
  <c r="G48" i="29"/>
  <c r="H47" i="29"/>
  <c r="F47" i="29"/>
  <c r="D47" i="29"/>
  <c r="C47" i="29"/>
  <c r="G47" i="29" s="1"/>
  <c r="H46" i="29"/>
  <c r="F46" i="29"/>
  <c r="D46" i="29"/>
  <c r="C46" i="29"/>
  <c r="H45" i="29"/>
  <c r="F45" i="29"/>
  <c r="D45" i="29"/>
  <c r="C45" i="29"/>
  <c r="H44" i="29"/>
  <c r="F44" i="29"/>
  <c r="E44" i="29"/>
  <c r="D44" i="29"/>
  <c r="C44" i="29"/>
  <c r="H43" i="29"/>
  <c r="F43" i="29"/>
  <c r="E43" i="29"/>
  <c r="D43" i="29"/>
  <c r="C43" i="29"/>
  <c r="H42" i="29"/>
  <c r="F42" i="29"/>
  <c r="E42" i="29"/>
  <c r="D42" i="29"/>
  <c r="C42" i="29"/>
  <c r="H41" i="29"/>
  <c r="F41" i="29"/>
  <c r="E41" i="29"/>
  <c r="D41" i="29"/>
  <c r="C41" i="29"/>
  <c r="G41" i="29" s="1"/>
  <c r="H39" i="29"/>
  <c r="F39" i="29"/>
  <c r="E39" i="29"/>
  <c r="D39" i="29"/>
  <c r="C39" i="29"/>
  <c r="H38" i="29"/>
  <c r="F38" i="29"/>
  <c r="E38" i="29"/>
  <c r="D38" i="29"/>
  <c r="C38" i="29"/>
  <c r="H37" i="29"/>
  <c r="F37" i="29"/>
  <c r="E37" i="29"/>
  <c r="D37" i="29"/>
  <c r="C37" i="29"/>
  <c r="H36" i="29"/>
  <c r="F36" i="29"/>
  <c r="E36" i="29"/>
  <c r="D36" i="29"/>
  <c r="C36" i="29"/>
  <c r="H34" i="29"/>
  <c r="F34" i="29"/>
  <c r="E34" i="29"/>
  <c r="D34" i="29"/>
  <c r="C34" i="29"/>
  <c r="H33" i="29"/>
  <c r="F33" i="29"/>
  <c r="E33" i="29"/>
  <c r="D33" i="29"/>
  <c r="C33" i="29"/>
  <c r="H32" i="29"/>
  <c r="F32" i="29"/>
  <c r="E32" i="29"/>
  <c r="D32" i="29"/>
  <c r="C32" i="29"/>
  <c r="I31" i="29"/>
  <c r="H31" i="29"/>
  <c r="F31" i="29"/>
  <c r="E31" i="29"/>
  <c r="D31" i="29"/>
  <c r="Z14" i="29" s="1"/>
  <c r="C31" i="29"/>
  <c r="I30" i="29"/>
  <c r="H30" i="29"/>
  <c r="F30" i="29"/>
  <c r="E30" i="29"/>
  <c r="D30" i="29"/>
  <c r="C30" i="29"/>
  <c r="H28" i="29"/>
  <c r="H25" i="29" s="1"/>
  <c r="F28" i="29"/>
  <c r="D28" i="29"/>
  <c r="C28" i="29"/>
  <c r="G28" i="29" s="1"/>
  <c r="G27" i="29"/>
  <c r="C27" i="29"/>
  <c r="D27" i="29" s="1"/>
  <c r="C26" i="29"/>
  <c r="D26" i="29" s="1"/>
  <c r="AG18" i="29"/>
  <c r="AG17" i="29"/>
  <c r="AG16" i="29"/>
  <c r="AG15" i="29"/>
  <c r="AG14" i="29"/>
  <c r="I47" i="29" l="1"/>
  <c r="G38" i="29"/>
  <c r="G44" i="29"/>
  <c r="G46" i="29"/>
  <c r="D35" i="29"/>
  <c r="I33" i="29"/>
  <c r="G39" i="29"/>
  <c r="D25" i="29"/>
  <c r="I25" i="29" s="1"/>
  <c r="D29" i="29"/>
  <c r="H29" i="29"/>
  <c r="G32" i="29"/>
  <c r="C40" i="29"/>
  <c r="F40" i="29" s="1"/>
  <c r="G40" i="29" s="1"/>
  <c r="I44" i="29"/>
  <c r="I28" i="29"/>
  <c r="I39" i="29"/>
  <c r="G45" i="29"/>
  <c r="G34" i="29"/>
  <c r="I36" i="29"/>
  <c r="I43" i="29"/>
  <c r="I29" i="29"/>
  <c r="G31" i="29"/>
  <c r="G37" i="29"/>
  <c r="I38" i="29"/>
  <c r="G43" i="29"/>
  <c r="C35" i="29"/>
  <c r="F35" i="29" s="1"/>
  <c r="G35" i="29" s="1"/>
  <c r="I32" i="29"/>
  <c r="I37" i="29"/>
  <c r="C25" i="29"/>
  <c r="G30" i="29"/>
  <c r="D40" i="29"/>
  <c r="I42" i="29"/>
  <c r="G33" i="29"/>
  <c r="H35" i="29"/>
  <c r="C29" i="29"/>
  <c r="F29" i="29" s="1"/>
  <c r="H40" i="29"/>
  <c r="I46" i="29"/>
  <c r="I34" i="29"/>
  <c r="G42" i="29"/>
  <c r="I45" i="29"/>
  <c r="I27" i="29"/>
  <c r="F27" i="29"/>
  <c r="G26" i="29"/>
  <c r="F26" i="29" s="1"/>
  <c r="Z15" i="29"/>
  <c r="I26" i="29"/>
  <c r="E139" i="29"/>
  <c r="G139" i="29" s="1"/>
  <c r="G36" i="29"/>
  <c r="I41" i="29"/>
  <c r="N139" i="29"/>
  <c r="C15" i="29" s="1"/>
  <c r="AG13" i="29"/>
  <c r="Z13" i="29"/>
  <c r="O139" i="29" l="1"/>
  <c r="C17" i="29" s="1"/>
  <c r="I35" i="29"/>
  <c r="D49" i="29"/>
  <c r="F131" i="29" s="1"/>
  <c r="F25" i="29"/>
  <c r="G25" i="29" s="1"/>
  <c r="C49" i="29"/>
  <c r="B42" i="29"/>
  <c r="B83" i="29" s="1"/>
  <c r="R203" i="29"/>
  <c r="R195" i="29"/>
  <c r="R147" i="29"/>
  <c r="R205" i="29"/>
  <c r="B43" i="29"/>
  <c r="B89" i="29" s="1"/>
  <c r="R204" i="29"/>
  <c r="B28" i="29"/>
  <c r="B76" i="29" s="1"/>
  <c r="R202" i="29"/>
  <c r="R167" i="29"/>
  <c r="F135" i="29"/>
  <c r="R176" i="29"/>
  <c r="F134" i="29"/>
  <c r="B31" i="29"/>
  <c r="B26" i="29"/>
  <c r="R178" i="29"/>
  <c r="B39" i="29"/>
  <c r="B82" i="29" s="1"/>
  <c r="B30" i="29"/>
  <c r="F137" i="29"/>
  <c r="J213" i="29"/>
  <c r="J214" i="29" s="1"/>
  <c r="R200" i="29"/>
  <c r="R187" i="29"/>
  <c r="R188" i="29" s="1"/>
  <c r="R148" i="29"/>
  <c r="B34" i="29"/>
  <c r="B41" i="29"/>
  <c r="B88" i="29" s="1"/>
  <c r="R199" i="29"/>
  <c r="AJ150" i="29"/>
  <c r="B27" i="29"/>
  <c r="B75" i="29" s="1"/>
  <c r="B45" i="29"/>
  <c r="B91" i="29" s="1"/>
  <c r="R198" i="29"/>
  <c r="R177" i="29"/>
  <c r="R165" i="29"/>
  <c r="R157" i="29"/>
  <c r="H49" i="29"/>
  <c r="I49" i="29" s="1"/>
  <c r="I40" i="29"/>
  <c r="G29" i="29"/>
  <c r="G49" i="29" s="1"/>
  <c r="C19" i="29" s="1"/>
  <c r="H52" i="29"/>
  <c r="I139" i="29"/>
  <c r="C18" i="29"/>
  <c r="J139" i="29"/>
  <c r="H55" i="29" s="1"/>
  <c r="AG12" i="29"/>
  <c r="Z12" i="29"/>
  <c r="F132" i="29" l="1"/>
  <c r="F133" i="29"/>
  <c r="B32" i="29"/>
  <c r="R194" i="29"/>
  <c r="C14" i="29"/>
  <c r="C16" i="29" s="1"/>
  <c r="X29" i="29" s="1"/>
  <c r="B36" i="29"/>
  <c r="B85" i="29" s="1"/>
  <c r="B46" i="29"/>
  <c r="B92" i="29" s="1"/>
  <c r="R196" i="29"/>
  <c r="R149" i="29"/>
  <c r="R175" i="29"/>
  <c r="R179" i="29" s="1"/>
  <c r="R164" i="29"/>
  <c r="R206" i="29"/>
  <c r="F138" i="29"/>
  <c r="R201" i="29"/>
  <c r="R168" i="29"/>
  <c r="R197" i="29"/>
  <c r="B37" i="29"/>
  <c r="B86" i="29" s="1"/>
  <c r="I264" i="29"/>
  <c r="I266" i="29" s="1"/>
  <c r="R166" i="29"/>
  <c r="B44" i="29"/>
  <c r="B90" i="29" s="1"/>
  <c r="B47" i="29"/>
  <c r="B93" i="29" s="1"/>
  <c r="C20" i="29"/>
  <c r="C21" i="29" s="1"/>
  <c r="F136" i="29"/>
  <c r="R163" i="29"/>
  <c r="R207" i="29"/>
  <c r="R169" i="29"/>
  <c r="B33" i="29"/>
  <c r="B77" i="29" s="1" a="1"/>
  <c r="B77" i="29" s="1"/>
  <c r="R193" i="29"/>
  <c r="R155" i="29"/>
  <c r="R158" i="29" s="1"/>
  <c r="B38" i="29"/>
  <c r="B87" i="29" s="1"/>
  <c r="R156" i="29"/>
  <c r="F49" i="29"/>
  <c r="B25" i="29"/>
  <c r="B74" i="29"/>
  <c r="R150" i="29"/>
  <c r="F139" i="29"/>
  <c r="H60" i="29"/>
  <c r="H61" i="29" s="1"/>
  <c r="B40" i="29"/>
  <c r="AA14" i="29"/>
  <c r="AA12" i="29"/>
  <c r="AA13" i="29"/>
  <c r="AK11" i="29"/>
  <c r="AG11" i="29"/>
  <c r="Z11" i="29"/>
  <c r="B35" i="29" l="1"/>
  <c r="R208" i="29"/>
  <c r="AA15" i="29"/>
  <c r="R170" i="29"/>
  <c r="H54" i="29"/>
  <c r="H56" i="29" s="1"/>
  <c r="AA11" i="29"/>
  <c r="H57" i="29"/>
  <c r="B84" i="29"/>
  <c r="H53" i="29"/>
  <c r="B94" i="29"/>
  <c r="B29" i="29"/>
  <c r="B49" i="29" s="1"/>
  <c r="B258" i="29"/>
  <c r="AK10" i="29"/>
  <c r="AG10" i="29"/>
  <c r="Z10" i="29"/>
  <c r="Z16" i="29" s="1"/>
  <c r="AA16" i="29" s="1"/>
  <c r="AA10" i="29" l="1"/>
  <c r="AK9" i="29"/>
  <c r="AG9" i="29"/>
  <c r="AK8" i="29" l="1"/>
  <c r="AK12" i="29" s="1"/>
  <c r="AJ8" i="29" s="1"/>
  <c r="AG8" i="29"/>
  <c r="AG19" i="29" s="1"/>
  <c r="Z7" i="29"/>
  <c r="Y7" i="29"/>
  <c r="AF8" i="29" l="1"/>
  <c r="AF17" i="29"/>
  <c r="AF18" i="29"/>
  <c r="AF15" i="29"/>
  <c r="AF14" i="29"/>
  <c r="AF16" i="29"/>
  <c r="AF13" i="29"/>
  <c r="AF12" i="29"/>
  <c r="AF11" i="29"/>
  <c r="AF10" i="29"/>
  <c r="AK13" i="29"/>
  <c r="AJ11" i="29"/>
  <c r="AJ10" i="29"/>
  <c r="AJ9" i="29"/>
  <c r="AF9" i="29"/>
  <c r="AJ12" i="29" l="1"/>
  <c r="AF19" i="29"/>
  <c r="A4" i="32"/>
  <c r="A3" i="32"/>
  <c r="A2" i="32"/>
  <c r="M3" i="32" l="1"/>
  <c r="M4" i="32"/>
  <c r="N4" i="32"/>
  <c r="N3" i="32" l="1"/>
  <c r="B52" i="32"/>
  <c r="C52" i="32"/>
  <c r="E4" i="32"/>
  <c r="E3" i="32" l="1"/>
  <c r="E2" i="32"/>
  <c r="B80" i="32" l="1"/>
  <c r="B87" i="32"/>
  <c r="B89" i="32"/>
  <c r="B88" i="32"/>
  <c r="B78" i="32"/>
  <c r="B93" i="32"/>
  <c r="B92" i="32"/>
  <c r="B86" i="32"/>
  <c r="B85" i="32"/>
  <c r="B84" i="32"/>
  <c r="B82" i="32"/>
  <c r="C67" i="32"/>
  <c r="C59" i="32"/>
  <c r="B67" i="32"/>
  <c r="B63" i="32"/>
  <c r="B59" i="32"/>
  <c r="B55" i="32"/>
  <c r="B51" i="32"/>
  <c r="C66" i="32"/>
  <c r="C62" i="32"/>
  <c r="C58" i="32"/>
  <c r="C54" i="32"/>
  <c r="B66" i="32"/>
  <c r="B62" i="32"/>
  <c r="B58" i="32"/>
  <c r="B54" i="32"/>
  <c r="C65" i="32"/>
  <c r="C61" i="32"/>
  <c r="C53" i="32"/>
  <c r="B65" i="32"/>
  <c r="B61" i="32"/>
  <c r="B57" i="32"/>
  <c r="B53" i="32"/>
  <c r="C60" i="32"/>
  <c r="B60" i="32"/>
  <c r="B56" i="32"/>
  <c r="N2" i="32"/>
  <c r="C68" i="32"/>
  <c r="M2" i="32"/>
  <c r="B68" i="32"/>
  <c r="C64" i="32"/>
  <c r="B64" i="32"/>
  <c r="B69" i="32" l="1"/>
  <c r="B75" i="32"/>
  <c r="O4" i="32" l="1"/>
  <c r="G4" i="32"/>
  <c r="K4" i="32"/>
  <c r="J4" i="32"/>
  <c r="D4" i="32"/>
  <c r="F4" i="32"/>
  <c r="B4" i="32"/>
  <c r="I4" i="32"/>
  <c r="H4" i="32" l="1"/>
  <c r="O3" i="32" l="1"/>
  <c r="F3" i="32"/>
  <c r="K3" i="32"/>
  <c r="J3" i="32"/>
  <c r="D3" i="32"/>
  <c r="G3" i="32"/>
  <c r="B3" i="32"/>
  <c r="I3" i="32"/>
  <c r="H3" i="32"/>
  <c r="O2" i="32" l="1"/>
  <c r="B35" i="32" s="1"/>
  <c r="C39" i="32"/>
  <c r="F37" i="32" s="1"/>
  <c r="B41" i="32"/>
  <c r="B37" i="32"/>
  <c r="K2" i="32"/>
  <c r="F2" i="32"/>
  <c r="D2" i="32"/>
  <c r="B2" i="32"/>
  <c r="J2" i="32"/>
  <c r="G2" i="32"/>
  <c r="I2" i="32"/>
  <c r="H2" i="32" l="1"/>
  <c r="B44" i="32"/>
  <c r="B43" i="32"/>
  <c r="B39" i="32"/>
  <c r="C35" i="32"/>
  <c r="F35" i="32" s="1"/>
  <c r="C37" i="32"/>
  <c r="F36" i="32" s="1"/>
  <c r="C4" i="32" l="1"/>
  <c r="C3" i="32"/>
  <c r="C51" i="32" l="1"/>
  <c r="B79" i="32"/>
  <c r="C43" i="32"/>
  <c r="F39" i="32" s="1"/>
  <c r="B77" i="32"/>
  <c r="C63" i="32"/>
  <c r="B83" i="32"/>
  <c r="C44" i="32"/>
  <c r="F40" i="32" s="1"/>
  <c r="B91" i="32"/>
  <c r="C2" i="32"/>
  <c r="B81" i="32"/>
  <c r="C55" i="32"/>
  <c r="C41" i="32" l="1"/>
  <c r="F38" i="32" s="1"/>
  <c r="F41" i="32" s="1"/>
  <c r="C57" i="32"/>
  <c r="B103" i="32"/>
  <c r="B76" i="32"/>
  <c r="B90" i="32"/>
  <c r="C56" i="32"/>
  <c r="C69" i="32" s="1"/>
  <c r="B102" i="32"/>
  <c r="C29" i="32"/>
  <c r="G29" i="32"/>
  <c r="M29" i="32"/>
  <c r="I29" i="32"/>
  <c r="H29" i="32"/>
  <c r="B94" i="32" l="1"/>
  <c r="C45" i="32" l="1"/>
  <c r="B45"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tc={8B4ED4B9-2713-40FA-9051-0DDC10690A60}</author>
  </authors>
  <commentList>
    <comment ref="AR154" authorId="0" shapeId="0" xr:uid="{8B4ED4B9-2713-40FA-9051-0DDC10690A60}">
      <text>
        <t>[Threaded comment]
Your version of Excel allows you to read this threaded comment; however, any edits to it will get removed if the file is opened in a newer version of Excel. Learn more: https://go.microsoft.com/fwlink/?linkid=870924
Comment:
    DO NOT CHANGE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<sst xmlns="http://schemas.openxmlformats.org/spreadsheetml/2006/main" count="766" uniqueCount="448">
  <si>
    <t>Cash</t>
  </si>
  <si>
    <t>Fixed Income</t>
  </si>
  <si>
    <t>Equity</t>
  </si>
  <si>
    <t>Alternatives</t>
  </si>
  <si>
    <t>Name</t>
  </si>
  <si>
    <t>Last Price</t>
  </si>
  <si>
    <t>Ticker</t>
  </si>
  <si>
    <t>Country of Risk</t>
  </si>
  <si>
    <t>ISIN</t>
  </si>
  <si>
    <t>Description</t>
  </si>
  <si>
    <t>Commodities &amp; Precious Metals</t>
  </si>
  <si>
    <t>Current Asset Allocation - Consolidated</t>
  </si>
  <si>
    <t>Product</t>
  </si>
  <si>
    <t>Allocation %</t>
  </si>
  <si>
    <t>Annual Cashflows $</t>
  </si>
  <si>
    <t>Grand Total</t>
  </si>
  <si>
    <t>Industry</t>
  </si>
  <si>
    <t>Units</t>
  </si>
  <si>
    <t>Market Value</t>
  </si>
  <si>
    <t>Single Line Equity</t>
  </si>
  <si>
    <t>Equity Funds/ ETFs</t>
  </si>
  <si>
    <t>Wtd Avg. Yield %</t>
  </si>
  <si>
    <t>Notional Value $</t>
  </si>
  <si>
    <t>Rank</t>
  </si>
  <si>
    <t>Notional ($)</t>
  </si>
  <si>
    <t>Sector</t>
  </si>
  <si>
    <t>Single line Bonds ex Cocos</t>
  </si>
  <si>
    <t>Single line Bonds Cocos</t>
  </si>
  <si>
    <t>Consensus Rating</t>
  </si>
  <si>
    <t>Geo Focus</t>
  </si>
  <si>
    <t>Strategy</t>
  </si>
  <si>
    <t>TRR 1Y</t>
  </si>
  <si>
    <t>Investor Details</t>
  </si>
  <si>
    <t>Custodian Name</t>
  </si>
  <si>
    <t>Account No.</t>
  </si>
  <si>
    <t>Investment Risk Profile</t>
  </si>
  <si>
    <t>Investment Objective/ Return Expectations</t>
  </si>
  <si>
    <t>Restrictions/ Exclusions, If Any</t>
  </si>
  <si>
    <t>Complex Products/ Derivatives K&amp;E</t>
  </si>
  <si>
    <t>Aggressive</t>
  </si>
  <si>
    <t>Yes</t>
  </si>
  <si>
    <t>None</t>
  </si>
  <si>
    <t>Consolidated AUMs</t>
  </si>
  <si>
    <t>Gross Assets ($)</t>
  </si>
  <si>
    <t>Total Liabilities ($)</t>
  </si>
  <si>
    <t>Net Assets ($)</t>
  </si>
  <si>
    <t>Wtd Avg  Lending Rate p.a.</t>
  </si>
  <si>
    <t>Loan Interest ($)</t>
  </si>
  <si>
    <t>Annual Cashflows</t>
  </si>
  <si>
    <t>Net Cashflows</t>
  </si>
  <si>
    <t>Net Cashflow Yield %</t>
  </si>
  <si>
    <t>-</t>
  </si>
  <si>
    <t>Mutual Funds &amp; ETFs</t>
  </si>
  <si>
    <t>Maturity Date</t>
  </si>
  <si>
    <t>Ccy</t>
  </si>
  <si>
    <t>Wtd Avg. Cpn/ Dvd Inc %</t>
  </si>
  <si>
    <t>Dvd. Yld. %</t>
  </si>
  <si>
    <t>Ind. Dvd p.a. ($)</t>
  </si>
  <si>
    <t>Fund Assets ($ Bn)</t>
  </si>
  <si>
    <t>Mkt. Value $</t>
  </si>
  <si>
    <t>CNTRY_OF_RISK</t>
  </si>
  <si>
    <t>Country</t>
  </si>
  <si>
    <t>Last updated</t>
  </si>
  <si>
    <t>Asset Allocation</t>
  </si>
  <si>
    <t>EUR</t>
  </si>
  <si>
    <t>LTV</t>
  </si>
  <si>
    <t>USD</t>
  </si>
  <si>
    <t>GBP</t>
  </si>
  <si>
    <t>CAD</t>
  </si>
  <si>
    <t>CHF</t>
  </si>
  <si>
    <t>JPY</t>
  </si>
  <si>
    <t>Maturity</t>
  </si>
  <si>
    <t>Structured Products</t>
  </si>
  <si>
    <t>Currency</t>
  </si>
  <si>
    <t>1M Price Change</t>
  </si>
  <si>
    <t>Coupon</t>
  </si>
  <si>
    <t>Moodys / Fitch / S&amp;P</t>
  </si>
  <si>
    <t>Duration</t>
  </si>
  <si>
    <t>Issuer</t>
  </si>
  <si>
    <t>Underlying</t>
  </si>
  <si>
    <t>XAU CURNCY</t>
  </si>
  <si>
    <t>Data Input Section --&gt;</t>
  </si>
  <si>
    <t>Currency Exhange Rates</t>
  </si>
  <si>
    <t>Complex Products IC Breach Check</t>
  </si>
  <si>
    <t>Loan/Liability</t>
  </si>
  <si>
    <t>Manual Input Color Code --&gt;</t>
  </si>
  <si>
    <t>Exchange Rate</t>
  </si>
  <si>
    <t>Loan Amount</t>
  </si>
  <si>
    <t>Loan Amount ($)</t>
  </si>
  <si>
    <t>Int Rate %</t>
  </si>
  <si>
    <t>Int Cost ($)</t>
  </si>
  <si>
    <t>% of Gross Assets</t>
  </si>
  <si>
    <t>Market Value ($)</t>
  </si>
  <si>
    <t>Asset Class</t>
  </si>
  <si>
    <t>United Kingdom</t>
  </si>
  <si>
    <t>Complex Products</t>
  </si>
  <si>
    <t>% of gross</t>
  </si>
  <si>
    <t>United States</t>
  </si>
  <si>
    <t>XX</t>
  </si>
  <si>
    <t>Equity Structured Products</t>
  </si>
  <si>
    <t>UAE</t>
  </si>
  <si>
    <t>AED</t>
  </si>
  <si>
    <t>Credit Structured Products/CLNs/Bond Repacks</t>
  </si>
  <si>
    <t>FRNs/Rates Structured Products</t>
  </si>
  <si>
    <t>Germany</t>
  </si>
  <si>
    <t xml:space="preserve">Total </t>
  </si>
  <si>
    <t>AUD</t>
  </si>
  <si>
    <t>FX &amp; Commodity linked Notes/Accu (remaining large notional)</t>
  </si>
  <si>
    <t>Australia</t>
  </si>
  <si>
    <t>HKD</t>
  </si>
  <si>
    <t>Cocos</t>
  </si>
  <si>
    <t>India</t>
  </si>
  <si>
    <t>Hedge Funds/Private Markets/VC</t>
  </si>
  <si>
    <t>Switzerland</t>
  </si>
  <si>
    <t>Colombia</t>
  </si>
  <si>
    <t>France</t>
  </si>
  <si>
    <t>P/L ($)</t>
  </si>
  <si>
    <t>P/L %</t>
  </si>
  <si>
    <t>Saudi Arabia</t>
  </si>
  <si>
    <t>Qatar</t>
  </si>
  <si>
    <t>Fiduciary Deposits</t>
  </si>
  <si>
    <t>Cash Management Solutions (100% Cap Protected FRN)</t>
  </si>
  <si>
    <t xml:space="preserve">Balance check </t>
  </si>
  <si>
    <t>FI Bond Funds/ ETFs</t>
  </si>
  <si>
    <t>Credit Linked Notes</t>
  </si>
  <si>
    <t>Rates Linked Notes</t>
  </si>
  <si>
    <t>Mixed Allocation Funds</t>
  </si>
  <si>
    <t>Equity Linked Str. Products</t>
  </si>
  <si>
    <t>Commodities Linked Str. Products</t>
  </si>
  <si>
    <t>Hedge Funds</t>
  </si>
  <si>
    <t>Private Markets</t>
  </si>
  <si>
    <t>REITs</t>
  </si>
  <si>
    <t>Portfolio Risk Metrics - Consolidated</t>
  </si>
  <si>
    <t xml:space="preserve">Portfolio </t>
  </si>
  <si>
    <t>FCL Policy</t>
  </si>
  <si>
    <t>Wtd Avg. Product Risk Rating</t>
  </si>
  <si>
    <t>Largest Single Position Concentration</t>
  </si>
  <si>
    <t>Leverage Utilisation</t>
  </si>
  <si>
    <t>Approved LTV</t>
  </si>
  <si>
    <t>Headroom</t>
  </si>
  <si>
    <t>Complex Products (Equity SPs, Monoline Cocos, CLNs, SPs linked to Rates, Hedge Funds, SPs Linked to Commodities, Private Equity, Private Credit)</t>
  </si>
  <si>
    <t>Drawdown Scenario *</t>
  </si>
  <si>
    <t>* No change in available LTV approved by custodians</t>
  </si>
  <si>
    <t>Amount</t>
  </si>
  <si>
    <t>Int. Rate</t>
  </si>
  <si>
    <t>Amount ($)</t>
  </si>
  <si>
    <t>Portfolio Wt %</t>
  </si>
  <si>
    <t>PRR</t>
  </si>
  <si>
    <t>Current Account</t>
  </si>
  <si>
    <t>Bonds</t>
  </si>
  <si>
    <t>Yld. to Wrst.</t>
  </si>
  <si>
    <t>Next Call Dt.</t>
  </si>
  <si>
    <t xml:space="preserve">Notional </t>
  </si>
  <si>
    <t>Pur. Price</t>
  </si>
  <si>
    <t>Ind. Bid</t>
  </si>
  <si>
    <t>Pur. Value ($)</t>
  </si>
  <si>
    <t>Mkt. Value ($)</t>
  </si>
  <si>
    <t>% P/L</t>
  </si>
  <si>
    <t>Total Return ($)</t>
  </si>
  <si>
    <t>Ind. Ask</t>
  </si>
  <si>
    <t>Purchase Value</t>
  </si>
  <si>
    <t>ID_ISIN</t>
  </si>
  <si>
    <t>Pur. Date</t>
  </si>
  <si>
    <t>Sub Classification</t>
  </si>
  <si>
    <t>Z Spread</t>
  </si>
  <si>
    <t>For YTW Formula</t>
  </si>
  <si>
    <t>Equities</t>
  </si>
  <si>
    <t>Industry Sector</t>
  </si>
  <si>
    <t>Mkt. Cap ($ Bn)</t>
  </si>
  <si>
    <t>P/E</t>
  </si>
  <si>
    <t>12m Fwd P/E</t>
  </si>
  <si>
    <t>P/B</t>
  </si>
  <si>
    <t>EV/EBITDA</t>
  </si>
  <si>
    <t>P/L % (ex. Income)</t>
  </si>
  <si>
    <t>Ind. Dvd. p.a.
(USD)</t>
  </si>
  <si>
    <t>FX at the time of pur.</t>
  </si>
  <si>
    <t>P/CF</t>
  </si>
  <si>
    <t>DEBT/ ASSETS</t>
  </si>
  <si>
    <t>BBG BUY</t>
  </si>
  <si>
    <t>BBG HOLD</t>
  </si>
  <si>
    <t>BBG SELL</t>
  </si>
  <si>
    <t>Bloomberg Analyst PT</t>
  </si>
  <si>
    <t>Return Potential based on PT</t>
  </si>
  <si>
    <t>3M Price Change</t>
  </si>
  <si>
    <t>6M Price Change</t>
  </si>
  <si>
    <t>YTD</t>
  </si>
  <si>
    <t>12M High</t>
  </si>
  <si>
    <t>12M Low</t>
  </si>
  <si>
    <t>BBG IDEAL</t>
  </si>
  <si>
    <t>BBG AMANI</t>
  </si>
  <si>
    <t>ISLAMIC</t>
  </si>
  <si>
    <t>YTD Price Change</t>
  </si>
  <si>
    <t>FX at the time of purchase</t>
  </si>
  <si>
    <t xml:space="preserve">Asset Class </t>
  </si>
  <si>
    <t>Asset Class Focus</t>
  </si>
  <si>
    <t>Fund Type</t>
  </si>
  <si>
    <t>Rating Focus</t>
  </si>
  <si>
    <t xml:space="preserve">Inception Date </t>
  </si>
  <si>
    <t>Ann TRR 3Y</t>
  </si>
  <si>
    <t>Ann TRR 5Y</t>
  </si>
  <si>
    <t>Front Load</t>
  </si>
  <si>
    <t>Expense Ratio</t>
  </si>
  <si>
    <t>Current Mgmt Fee</t>
  </si>
  <si>
    <t>Min Investment</t>
  </si>
  <si>
    <t>Sharpe Ratio</t>
  </si>
  <si>
    <t>Sortino Ratio</t>
  </si>
  <si>
    <t>Excess Return</t>
  </si>
  <si>
    <t>Return Beta</t>
  </si>
  <si>
    <t>Return Alpha</t>
  </si>
  <si>
    <t>Share Class</t>
  </si>
  <si>
    <t>Strutured Products</t>
  </si>
  <si>
    <t>Notional</t>
  </si>
  <si>
    <t>Coupon % p.a.</t>
  </si>
  <si>
    <t>Credit Linked</t>
  </si>
  <si>
    <t>Equity Linked Structured Products</t>
  </si>
  <si>
    <t>Commodities Linked Structured Products</t>
  </si>
  <si>
    <t>100% Cap Protected FRN</t>
  </si>
  <si>
    <t>Dividend Yield %</t>
  </si>
  <si>
    <t>Ind. Dvd p.a.
($)</t>
  </si>
  <si>
    <t xml:space="preserve">Purchase Value </t>
  </si>
  <si>
    <t>Committed Capital</t>
  </si>
  <si>
    <t>Net Capital Called</t>
  </si>
  <si>
    <t>Distribution Rcvd.</t>
  </si>
  <si>
    <t>Market Value (in Ccy)</t>
  </si>
  <si>
    <t>FX Rate</t>
  </si>
  <si>
    <t>100% Capital Protected FRN</t>
  </si>
  <si>
    <t>Check</t>
  </si>
  <si>
    <t>Commodity ETFs</t>
  </si>
  <si>
    <t>Alternative ETFs</t>
  </si>
  <si>
    <t>Int. Amount</t>
  </si>
  <si>
    <t>Int. Amount ($)</t>
  </si>
  <si>
    <t>Corresponding PRR Allowed</t>
  </si>
  <si>
    <t>Corresponding PRR Allowed with K &amp;E</t>
  </si>
  <si>
    <t>Conservative</t>
  </si>
  <si>
    <t>Moderately Conservative</t>
  </si>
  <si>
    <t>Moderate</t>
  </si>
  <si>
    <t>Moderately Aggressive</t>
  </si>
  <si>
    <t>Product - Sub Category</t>
  </si>
  <si>
    <t>Risk Definition</t>
  </si>
  <si>
    <t>Fiduciary Deposits - A Rated Banks</t>
  </si>
  <si>
    <t>Low Risk</t>
  </si>
  <si>
    <t>US Treasuries</t>
  </si>
  <si>
    <t>Moderately Low Risk</t>
  </si>
  <si>
    <t>Money Market Funds</t>
  </si>
  <si>
    <t>Moderate Risk</t>
  </si>
  <si>
    <t>AA+, AA, AA-,</t>
  </si>
  <si>
    <t>Moderately High Risk</t>
  </si>
  <si>
    <t>A+, A, A-, BBB+, BBB, BBB-</t>
  </si>
  <si>
    <t>High Risk</t>
  </si>
  <si>
    <t>BB+, BB, BB-</t>
  </si>
  <si>
    <t>B+, B, B-, CCC+, CCC, CCC-, Not rated</t>
  </si>
  <si>
    <t>Payment Rank Tier1, Tier 2, TLACs - irrespective of Rating</t>
  </si>
  <si>
    <t>Bond Repacks</t>
  </si>
  <si>
    <t>Underlying Bond - AA+, AA, AA-, A+, A, A-</t>
  </si>
  <si>
    <t>Underlying Bond - BBB+, BBB, BBB-</t>
  </si>
  <si>
    <t>Underlying Bond - BB+, BB, BB-</t>
  </si>
  <si>
    <t>Underlying Bond - B+, B, B-, CCC+, CCC, CCC-, Not rated</t>
  </si>
  <si>
    <t>DM Blue Chips/ Large Caps</t>
  </si>
  <si>
    <t>DM Mid Cap/Small Cap</t>
  </si>
  <si>
    <t>EM Large Cap/ Mid Cap/ Small Cap</t>
  </si>
  <si>
    <t>Accumulators/ Decumulators</t>
  </si>
  <si>
    <t>Short Equity options</t>
  </si>
  <si>
    <t>Short Index Options</t>
  </si>
  <si>
    <t>Funds</t>
  </si>
  <si>
    <t>Equity Sectoral</t>
  </si>
  <si>
    <t>Equity Thematic</t>
  </si>
  <si>
    <t>Private Equity Funds</t>
  </si>
  <si>
    <t>Real Estate Funds</t>
  </si>
  <si>
    <t>Bond Funds - IG DM</t>
  </si>
  <si>
    <t>Bond Funds - IG EM</t>
  </si>
  <si>
    <t>Bond Funds - HY</t>
  </si>
  <si>
    <t>Mixed Allocation</t>
  </si>
  <si>
    <t>Capital Protected Structure Notes</t>
  </si>
  <si>
    <t>Fixed Coupon Notes</t>
  </si>
  <si>
    <t>Index Linked Notes</t>
  </si>
  <si>
    <t>Reverse Convertible</t>
  </si>
  <si>
    <t>Warrants</t>
  </si>
  <si>
    <t>Discount Certificate</t>
  </si>
  <si>
    <t>Outperformance certificate</t>
  </si>
  <si>
    <t>Tracker certificate</t>
  </si>
  <si>
    <t>CLN</t>
  </si>
  <si>
    <t>FX &amp; Commodities</t>
  </si>
  <si>
    <t>Short Forex options</t>
  </si>
  <si>
    <t>Short Commodities options</t>
  </si>
  <si>
    <t>FX Accumulator/ TARF</t>
  </si>
  <si>
    <t>Commodities Accumulator/ TARF</t>
  </si>
  <si>
    <t>SWAPs</t>
  </si>
  <si>
    <t>Interest Rate Swaps</t>
  </si>
  <si>
    <t>Credit Default Swaps</t>
  </si>
  <si>
    <t>4/5</t>
  </si>
  <si>
    <t>KYG078991000</t>
  </si>
  <si>
    <t>Gold Bar 12.5 Kg (Ounces)</t>
  </si>
  <si>
    <t>Brazil</t>
  </si>
  <si>
    <t>PAL63444B5A9</t>
  </si>
  <si>
    <t xml:space="preserve">Capital preservation accepting small degree of risk and volatility to seek some degree of appreciation. </t>
  </si>
  <si>
    <t>LGT Geneva</t>
  </si>
  <si>
    <t>Panama</t>
  </si>
  <si>
    <t>Netherlands</t>
  </si>
  <si>
    <t>Options</t>
  </si>
  <si>
    <t>Margin Block %</t>
  </si>
  <si>
    <t>Margin Block</t>
  </si>
  <si>
    <t>Upfront Premium ($)</t>
  </si>
  <si>
    <t>Upfront Premium (%)</t>
  </si>
  <si>
    <t>Option Type</t>
  </si>
  <si>
    <t>Expiry</t>
  </si>
  <si>
    <t>Expiry Type</t>
  </si>
  <si>
    <t>Strike Price</t>
  </si>
  <si>
    <t>KO/KI type</t>
  </si>
  <si>
    <t>Current Spot Price</t>
  </si>
  <si>
    <t>USDCHF</t>
  </si>
  <si>
    <t>SLV</t>
  </si>
  <si>
    <t>Objective</t>
  </si>
  <si>
    <t>Current Allocation %</t>
  </si>
  <si>
    <t>Capital Growth Oriented</t>
  </si>
  <si>
    <t>Income vs Growth Attribution</t>
  </si>
  <si>
    <t xml:space="preserve">Portfolio* </t>
  </si>
  <si>
    <t>Options (Equity, FX positions &amp; others)</t>
  </si>
  <si>
    <t>Income Generation</t>
  </si>
  <si>
    <t>US404280DT33</t>
  </si>
  <si>
    <t>XS2451768720</t>
  </si>
  <si>
    <t>TLT UW</t>
  </si>
  <si>
    <t>ARKW UN</t>
  </si>
  <si>
    <t>SIL UN</t>
  </si>
  <si>
    <t xml:space="preserve">USA UN </t>
  </si>
  <si>
    <t>LU0820561818</t>
  </si>
  <si>
    <t>LU1298145357</t>
  </si>
  <si>
    <t>LU0447611657</t>
  </si>
  <si>
    <t>NEM AT</t>
  </si>
  <si>
    <t>ROG SE</t>
  </si>
  <si>
    <t>JNJ UN</t>
  </si>
  <si>
    <t>INTERNAL CALCULATIONS FOR MAIN ASSET ALLOCATION TABLE - DO NOT CHANGE</t>
  </si>
  <si>
    <t>Accrued Interest</t>
  </si>
  <si>
    <t>Accrued Interest ($)</t>
  </si>
  <si>
    <t>Mkt. Value + Accrued ($)</t>
  </si>
  <si>
    <t>% P/L (ex. Income)</t>
  </si>
  <si>
    <t>*FCL policy breach</t>
  </si>
  <si>
    <t>Weight</t>
  </si>
  <si>
    <t>Security Name</t>
  </si>
  <si>
    <t>Ratings</t>
  </si>
  <si>
    <t>BBG COMPOSITE</t>
  </si>
  <si>
    <t>Rating Score</t>
  </si>
  <si>
    <t>IG / HY</t>
  </si>
  <si>
    <t>BBB</t>
  </si>
  <si>
    <t>Year</t>
  </si>
  <si>
    <t># Positions</t>
  </si>
  <si>
    <t>A+</t>
  </si>
  <si>
    <t>IG</t>
  </si>
  <si>
    <t>A-</t>
  </si>
  <si>
    <t>BBB+</t>
  </si>
  <si>
    <t>BBB-</t>
  </si>
  <si>
    <t>BB+</t>
  </si>
  <si>
    <t>HY</t>
  </si>
  <si>
    <t>BB</t>
  </si>
  <si>
    <t>BB-</t>
  </si>
  <si>
    <t>B+</t>
  </si>
  <si>
    <t>B</t>
  </si>
  <si>
    <t>B-</t>
  </si>
  <si>
    <t>CCC+</t>
  </si>
  <si>
    <t>CCC</t>
  </si>
  <si>
    <t>CCC-</t>
  </si>
  <si>
    <t>CC</t>
  </si>
  <si>
    <t>C</t>
  </si>
  <si>
    <t>below C</t>
  </si>
  <si>
    <t>Exposure</t>
  </si>
  <si>
    <t>Basic Materials</t>
  </si>
  <si>
    <t>Government</t>
  </si>
  <si>
    <t>Financial</t>
  </si>
  <si>
    <t>Energy</t>
  </si>
  <si>
    <t>Consumer, Cyclical</t>
  </si>
  <si>
    <t>Ireland</t>
  </si>
  <si>
    <t>Romania</t>
  </si>
  <si>
    <t>Hungary</t>
  </si>
  <si>
    <t>Austria</t>
  </si>
  <si>
    <t>South Africa</t>
  </si>
  <si>
    <t>Industry Exposure</t>
  </si>
  <si>
    <t>Direct Equity only</t>
  </si>
  <si>
    <t xml:space="preserve"> Weight in bond portfolio %</t>
  </si>
  <si>
    <t>YTW</t>
  </si>
  <si>
    <t>Data Input for FCL metrics</t>
  </si>
  <si>
    <t>*Not in line with Investment Risk Profile</t>
  </si>
  <si>
    <t>&lt;10%</t>
  </si>
  <si>
    <t>&lt;50%</t>
  </si>
  <si>
    <t>&gt;15%</t>
  </si>
  <si>
    <t>&lt;25%</t>
  </si>
  <si>
    <t>Headroom (Difference between Approved LTV and Leverage Utilisation)</t>
  </si>
  <si>
    <t>Industrial</t>
  </si>
  <si>
    <t>Technology</t>
  </si>
  <si>
    <t>Diversified</t>
  </si>
  <si>
    <t>Communications</t>
  </si>
  <si>
    <t>Utilities</t>
  </si>
  <si>
    <t>Bond Portfolio - Key Metrics</t>
  </si>
  <si>
    <t>INDUSTRY EXPOSURE</t>
  </si>
  <si>
    <t>CREDIT RATING METRICS</t>
  </si>
  <si>
    <t>MATURITY PROFILE</t>
  </si>
  <si>
    <t>COUNTRY EXPOSURE (below list of countries not exhaustive - will need to add as and when needed)</t>
  </si>
  <si>
    <t>A</t>
  </si>
  <si>
    <t>Purchase Value (in Ccy)</t>
  </si>
  <si>
    <t>Last Updated date for Factsheet</t>
  </si>
  <si>
    <t>% P/L for bonds</t>
  </si>
  <si>
    <t>Market Value + Accrued ($)</t>
  </si>
  <si>
    <t>Market Value ($) ex Accrued</t>
  </si>
  <si>
    <t>All Reference Industries</t>
  </si>
  <si>
    <t xml:space="preserve">% </t>
  </si>
  <si>
    <t>Consumer, Non-Cyclical</t>
  </si>
  <si>
    <t>Direct Equity Portfolio - Industry Exposure</t>
  </si>
  <si>
    <t>Perpetual</t>
  </si>
  <si>
    <t>Years to Maturity</t>
  </si>
  <si>
    <t>0-1.5</t>
  </si>
  <si>
    <t>1.5-4</t>
  </si>
  <si>
    <t>15+</t>
  </si>
  <si>
    <t>4-7</t>
  </si>
  <si>
    <t>7-15</t>
  </si>
  <si>
    <t>&gt;0</t>
  </si>
  <si>
    <t>&lt;1.5</t>
  </si>
  <si>
    <t>&lt;15</t>
  </si>
  <si>
    <t>&lt;4</t>
  </si>
  <si>
    <t>&lt;7</t>
  </si>
  <si>
    <t>Perp</t>
  </si>
  <si>
    <t>&gt;=1.5</t>
  </si>
  <si>
    <t>&gt;=4</t>
  </si>
  <si>
    <t>&gt;=7</t>
  </si>
  <si>
    <t>&gt;=15</t>
  </si>
  <si>
    <t>Non-Viability Check</t>
  </si>
  <si>
    <t>Underlying 1</t>
  </si>
  <si>
    <t>Underlying 2</t>
  </si>
  <si>
    <t>Underlying 3</t>
  </si>
  <si>
    <t>Underlying 4</t>
  </si>
  <si>
    <t>Underlying 5</t>
  </si>
  <si>
    <t>SP Dropdown List</t>
  </si>
  <si>
    <t>Materials</t>
  </si>
  <si>
    <t>Industrials</t>
  </si>
  <si>
    <t>Consumer Discretionary</t>
  </si>
  <si>
    <t>Consumer Staples</t>
  </si>
  <si>
    <t>Health Care</t>
  </si>
  <si>
    <t>Financials</t>
  </si>
  <si>
    <t>Information Technology</t>
  </si>
  <si>
    <t>Communication Services</t>
  </si>
  <si>
    <t>Real Estate</t>
  </si>
  <si>
    <t>Currency Mismatch</t>
  </si>
  <si>
    <t>Value ($)</t>
  </si>
  <si>
    <t>Coupon Type</t>
  </si>
  <si>
    <t>Performance Tracking</t>
  </si>
  <si>
    <t>NAV</t>
  </si>
  <si>
    <t>YTD Performance %</t>
  </si>
  <si>
    <t>Cumulative Deposit/ Withdrawal</t>
  </si>
  <si>
    <t>Manual Entry</t>
  </si>
  <si>
    <t>YTD Performance as per statement</t>
  </si>
  <si>
    <t>Creation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</si>
</sst>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
    <numFmt numFmtId="165" formatCode="_(* #,##0.00_);_(* \(#,##0.00\);_(* &quot;-&quot;??_);_(@_)"/>
    <numFmt numFmtId="166" formatCode="0.0_);\(0.0\)"/>
    <numFmt numFmtId="167" formatCode="#,##0_ ;\-#,##0\ "/>
    <numFmt numFmtId="168" formatCode="#,##0.0"/>
    <numFmt numFmtId="169" formatCode="0.000%"/>
    <numFmt numFmtId="170" formatCode="#,##0.00_ ;\-#,##0.00\ "/>
    <numFmt numFmtId="171" formatCode="_-* #,##0_-;\-* #,##0_-;_-* &quot;-&quot;??_-;_-@_-"/>
    <numFmt numFmtId="172" formatCode="#,##0.0_ ;\-#,##0.0\ "/>
    <numFmt numFmtId="173" formatCode="#,##0.00000"/>
    <numFmt numFmtId="174" formatCode="#,##0.0000_ ;\-#,##0.0000\ "/>
    <numFmt numFmtId="175" formatCode="0.0"/>
    <numFmt numFmtId="176" formatCode="0.0000%"/>
    <numFmt numFmtId="177" formatCode="0.0%;\(0.0%\);\-\ ;@"/>
    <numFmt numFmtId="178" formatCode="#,##0;\(#,##0\);\-\ ;@"/>
    <numFmt numFmtId="179" formatCode="#,##0.00;\(#,##0.00\);\-\ ;@"/>
    <numFmt numFmtId="180" formatCode="mmm\ yyyy"/>
    <numFmt numFmtId="181" formatCode="dd/mm/yyyy\ \ \ \ \ \ h:mm\ AM/PM"/>
  </numFmts>
  <fonts count="22" x14ac:knownFonts="1">
    <font>
      <sz val="11"/>
      <color theme="1"/>
      <name val="Aptos Narrow"/>
      <family val="2"/>
      <scheme val="minor"/>
    </font>
    <font>
      <sz val="11"/>
      <color theme="1"/>
      <name val="Aptos Narrow"/>
      <family val="2"/>
      <scheme val="minor"/>
    </font>
    <font>
      <sz val="12"/>
      <color theme="1"/>
      <name val="Aptos Narrow"/>
      <family val="2"/>
      <scheme val="minor"/>
    </font>
    <font>
      <b/>
      <i/>
      <sz val="10"/>
      <color theme="1"/>
      <name val="Aptos Narrow"/>
      <family val="2"/>
      <scheme val="minor"/>
    </font>
    <font>
      <sz val="10"/>
      <color theme="1"/>
      <name val="Aptos Narrow"/>
      <family val="2"/>
      <scheme val="minor"/>
    </font>
    <font>
      <b/>
      <sz val="10"/>
      <color theme="1"/>
      <name val="Aptos Narrow"/>
      <family val="2"/>
      <scheme val="minor"/>
    </font>
    <font>
      <b/>
      <u/>
      <sz val="10"/>
      <color theme="1"/>
      <name val="Aptos Narrow"/>
      <family val="2"/>
      <scheme val="minor"/>
    </font>
    <font>
      <sz val="10"/>
      <name val="Aptos Narrow"/>
      <family val="2"/>
      <scheme val="minor"/>
    </font>
    <font>
      <b/>
      <sz val="10"/>
      <name val="Aptos Narrow"/>
      <family val="2"/>
      <scheme val="minor"/>
    </font>
    <font>
      <i/>
      <sz val="10"/>
      <color theme="1"/>
      <name val="Aptos Narrow"/>
      <family val="2"/>
      <scheme val="minor"/>
    </font>
    <font>
      <b/>
      <sz val="10"/>
      <color theme="0"/>
      <name val="Aptos Narrow"/>
      <family val="2"/>
      <scheme val="minor"/>
    </font>
    <font>
      <i/>
      <sz val="10"/>
      <name val="Aptos Narrow"/>
      <family val="2"/>
      <scheme val="minor"/>
    </font>
    <font>
      <b/>
      <i/>
      <sz val="10"/>
      <name val="Aptos Narrow"/>
      <family val="2"/>
      <scheme val="minor"/>
    </font>
    <font>
      <sz val="12"/>
      <color theme="1"/>
      <name val="Aptos"/>
      <family val="2"/>
    </font>
    <font>
      <b/>
      <sz val="10"/>
      <color rgb="FFFFFFFF"/>
      <name val="Calibri"/>
      <family val="2"/>
    </font>
    <font>
      <sz val="10"/>
      <color rgb="FF000000"/>
      <name val="Calibri"/>
      <family val="2"/>
    </font>
    <font>
      <sz val="11"/>
      <color theme="1"/>
      <name val="Calibri"/>
      <family val="2"/>
    </font>
    <font>
      <b/>
      <sz val="10"/>
      <color rgb="FF000000"/>
      <name val="Calibri"/>
      <family val="2"/>
    </font>
    <font>
      <sz val="10"/>
      <color rgb="FF1E1E1E"/>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249977111117893"/>
        <bgColor indexed="64"/>
      </patternFill>
    </fill>
    <fill>
      <patternFill patternType="solid">
        <fgColor theme="0"/>
        <bgColor theme="4" tint="0.79998168889431442"/>
      </patternFill>
    </fill>
    <fill>
      <patternFill patternType="solid">
        <fgColor theme="4" tint="-0.249977111117893"/>
        <bgColor rgb="FF000000"/>
      </patternFill>
    </fill>
    <fill>
      <patternFill patternType="solid">
        <fgColor theme="0" tint="-4.9989318521683403E-2"/>
        <bgColor indexed="64"/>
      </patternFill>
    </fill>
    <fill>
      <patternFill patternType="solid">
        <fgColor theme="0"/>
        <bgColor rgb="FF000000"/>
      </patternFill>
    </fill>
    <fill>
      <patternFill patternType="solid">
        <fgColor rgb="FFFFFFFF"/>
        <bgColor indexed="64"/>
      </patternFill>
    </fill>
    <fill>
      <patternFill patternType="solid">
        <fgColor theme="0" tint="-0.499984740745262"/>
        <bgColor indexed="64"/>
      </patternFill>
    </fill>
    <fill>
      <patternFill patternType="solid">
        <fgColor rgb="FF1F4E78"/>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9" tint="0.79998168889431442"/>
        <bgColor indexed="64"/>
      </patternFill>
    </fill>
  </fills>
  <borders count="30">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theme="0"/>
      </top>
      <bottom/>
      <diagonal/>
    </border>
    <border>
      <left style="thin">
        <color rgb="FFFFFFFF"/>
      </left>
      <right/>
      <top style="thin">
        <color rgb="FFFFFFFF"/>
      </top>
      <bottom/>
      <diagonal/>
    </border>
    <border>
      <left/>
      <right/>
      <top style="hair">
        <color rgb="FFA5A5A5"/>
      </top>
      <bottom style="hair">
        <color rgb="FFA5A5A5"/>
      </bottom>
      <diagonal/>
    </border>
    <border>
      <left/>
      <right/>
      <top style="hair">
        <color rgb="FFA5A5A5"/>
      </top>
      <bottom/>
      <diagonal/>
    </border>
    <border>
      <left/>
      <right/>
      <top/>
      <bottom style="hair">
        <color rgb="FFA5A5A5"/>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hair">
        <color rgb="FFA5A5A5"/>
      </top>
      <bottom style="hair">
        <color rgb="FFA5A5A5"/>
      </bottom>
      <diagonal/>
    </border>
    <border>
      <left/>
      <right/>
      <top/>
      <bottom style="thin">
        <color rgb="FFFFFFF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0"/>
      </bottom>
      <diagonal/>
    </border>
    <border>
      <left/>
      <right/>
      <top style="thin">
        <color theme="0"/>
      </top>
      <bottom style="thin">
        <color indexed="64"/>
      </bottom>
      <diagonal/>
    </border>
    <border>
      <left/>
      <right/>
      <top style="thin">
        <color indexed="64"/>
      </top>
      <bottom style="thin">
        <color indexed="64"/>
      </bottom>
      <diagonal/>
    </border>
    <border>
      <left/>
      <right/>
      <top style="hair">
        <color theme="0" tint="-0.34998626667073579"/>
      </top>
      <bottom style="hair">
        <color theme="0" tint="-0.34998626667073579"/>
      </bottom>
      <diagonal/>
    </border>
    <border>
      <left/>
      <right/>
      <top style="thin">
        <color rgb="FFFFFFFF"/>
      </top>
      <bottom/>
      <diagonal/>
    </border>
    <border>
      <left style="thin">
        <color indexed="64"/>
      </left>
      <right/>
      <top style="hair">
        <color rgb="FFA5A5A5"/>
      </top>
      <bottom/>
      <diagonal/>
    </border>
    <border>
      <left style="thin">
        <color indexed="64"/>
      </left>
      <right/>
      <top style="thin">
        <color theme="0"/>
      </top>
      <bottom/>
      <diagonal/>
    </border>
    <border>
      <left style="thin">
        <color indexed="64"/>
      </left>
      <right/>
      <top style="thin">
        <color indexed="64"/>
      </top>
      <bottom style="hair">
        <color rgb="FFA5A5A5"/>
      </bottom>
      <diagonal/>
    </border>
    <border>
      <left/>
      <right style="thin">
        <color indexed="64"/>
      </right>
      <top style="thin">
        <color indexed="64"/>
      </top>
      <bottom style="hair">
        <color rgb="FFA5A5A5"/>
      </bottom>
      <diagonal/>
    </border>
    <border>
      <left/>
      <right style="thin">
        <color indexed="64"/>
      </right>
      <top style="hair">
        <color rgb="FFA5A5A5"/>
      </top>
      <bottom style="hair">
        <color rgb="FFA5A5A5"/>
      </bottom>
      <diagonal/>
    </border>
    <border>
      <left style="thin">
        <color indexed="64"/>
      </left>
      <right/>
      <top style="hair">
        <color rgb="FFA5A5A5"/>
      </top>
      <bottom style="thin">
        <color indexed="64"/>
      </bottom>
      <diagonal/>
    </border>
    <border>
      <left/>
      <right style="thin">
        <color indexed="64"/>
      </right>
      <top style="hair">
        <color rgb="FFA5A5A5"/>
      </top>
      <bottom style="thin">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2" fillId="0" borderId="0"/>
    <xf numFmtId="9" fontId="2" fillId="0" borderId="0" applyFont="0" applyFill="0" applyBorder="0" applyAlignment="0" applyProtection="0"/>
    <xf numFmtId="43" fontId="1" fillId="0" borderId="0" applyFont="0" applyFill="0" applyBorder="0" applyAlignment="0" applyProtection="0"/>
  </cellStyleXfs>
  <cellXfs count="327">
    <xf numFmtId="0" fontId="0" fillId="0" borderId="0" xfId="0"/>
    <xf numFmtId="0" fontId="3" fillId="2" borderId="0" xfId="0" applyFont="1" applyFill="1" applyAlignment="1">
      <alignment horizontal="left" vertical="top"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3" fontId="5" fillId="2" borderId="0" xfId="3" applyNumberFormat="1" applyFont="1" applyFill="1" applyAlignment="1">
      <alignment horizontal="left" vertical="top" wrapText="1"/>
    </xf>
    <xf numFmtId="3" fontId="4" fillId="2" borderId="0" xfId="3" applyNumberFormat="1" applyFont="1" applyFill="1" applyAlignment="1">
      <alignment horizontal="left" vertical="top" wrapText="1"/>
    </xf>
    <xf numFmtId="10" fontId="4" fillId="2" borderId="0" xfId="0" applyNumberFormat="1" applyFont="1" applyFill="1" applyAlignment="1">
      <alignment horizontal="left" vertical="top" wrapText="1"/>
    </xf>
    <xf numFmtId="10" fontId="5" fillId="2" borderId="0" xfId="2" applyNumberFormat="1" applyFont="1" applyFill="1" applyAlignment="1">
      <alignment horizontal="left" vertical="top" wrapText="1"/>
    </xf>
    <xf numFmtId="0" fontId="7" fillId="2" borderId="6" xfId="0" applyFont="1" applyFill="1" applyBorder="1" applyAlignment="1" applyProtection="1">
      <alignment horizontal="left" vertical="top" wrapText="1"/>
      <protection locked="0"/>
    </xf>
    <xf numFmtId="3" fontId="7" fillId="2" borderId="6" xfId="0" applyNumberFormat="1" applyFont="1" applyFill="1" applyBorder="1" applyAlignment="1" applyProtection="1">
      <alignment horizontal="left" vertical="top" wrapText="1"/>
      <protection locked="0"/>
    </xf>
    <xf numFmtId="167" fontId="7" fillId="2" borderId="6" xfId="1" applyNumberFormat="1" applyFont="1" applyFill="1" applyBorder="1" applyAlignment="1" applyProtection="1">
      <alignment horizontal="left" vertical="top" wrapText="1"/>
      <protection locked="0"/>
    </xf>
    <xf numFmtId="4" fontId="7" fillId="2" borderId="6" xfId="0" applyNumberFormat="1" applyFont="1" applyFill="1" applyBorder="1" applyAlignment="1" applyProtection="1">
      <alignment horizontal="left" vertical="top" wrapText="1"/>
      <protection locked="0"/>
    </xf>
    <xf numFmtId="0" fontId="6" fillId="8" borderId="0" xfId="0" applyFont="1" applyFill="1" applyAlignment="1">
      <alignment vertical="top" wrapText="1"/>
    </xf>
    <xf numFmtId="0" fontId="4" fillId="0" borderId="0" xfId="0" applyFont="1" applyAlignment="1">
      <alignment horizontal="left" vertical="top" wrapText="1"/>
    </xf>
    <xf numFmtId="0" fontId="4" fillId="0" borderId="10" xfId="0" applyFont="1" applyBorder="1" applyAlignment="1">
      <alignment horizontal="left" vertical="top" wrapText="1"/>
    </xf>
    <xf numFmtId="166" fontId="10" fillId="5" borderId="10" xfId="0" applyNumberFormat="1" applyFont="1" applyFill="1" applyBorder="1" applyAlignment="1">
      <alignment horizontal="left" vertical="top" wrapText="1"/>
    </xf>
    <xf numFmtId="166" fontId="10" fillId="5" borderId="0" xfId="0" applyNumberFormat="1" applyFont="1" applyFill="1" applyAlignment="1">
      <alignment horizontal="left" vertical="top" wrapText="1"/>
    </xf>
    <xf numFmtId="167" fontId="7" fillId="2" borderId="6" xfId="1" applyNumberFormat="1" applyFont="1" applyFill="1" applyBorder="1" applyAlignment="1" applyProtection="1">
      <alignment horizontal="left" vertical="top"/>
      <protection locked="0"/>
    </xf>
    <xf numFmtId="170" fontId="7" fillId="2" borderId="6" xfId="1" applyNumberFormat="1" applyFont="1" applyFill="1" applyBorder="1" applyAlignment="1" applyProtection="1">
      <alignment horizontal="left" vertical="top"/>
      <protection locked="0"/>
    </xf>
    <xf numFmtId="164" fontId="7" fillId="2" borderId="6" xfId="2" applyNumberFormat="1" applyFont="1" applyFill="1" applyBorder="1" applyAlignment="1" applyProtection="1">
      <alignment horizontal="left" vertical="top"/>
      <protection locked="0"/>
    </xf>
    <xf numFmtId="171" fontId="7" fillId="2" borderId="6" xfId="1" applyNumberFormat="1" applyFont="1" applyFill="1" applyBorder="1" applyAlignment="1" applyProtection="1">
      <alignment horizontal="left" vertical="top"/>
      <protection locked="0"/>
    </xf>
    <xf numFmtId="0" fontId="10" fillId="11" borderId="0" xfId="0" applyFont="1" applyFill="1" applyAlignment="1">
      <alignment horizontal="left" vertical="top" wrapText="1"/>
    </xf>
    <xf numFmtId="9" fontId="10" fillId="11" borderId="0" xfId="2" applyFont="1" applyFill="1" applyBorder="1" applyAlignment="1">
      <alignment horizontal="left" vertical="top" wrapText="1"/>
    </xf>
    <xf numFmtId="9" fontId="4" fillId="2" borderId="0" xfId="0" applyNumberFormat="1" applyFont="1" applyFill="1" applyAlignment="1">
      <alignment horizontal="left" vertical="top" wrapText="1"/>
    </xf>
    <xf numFmtId="0" fontId="7" fillId="2" borderId="6" xfId="0" applyFont="1" applyFill="1" applyBorder="1" applyAlignment="1" applyProtection="1">
      <alignment horizontal="left" vertical="top"/>
      <protection locked="0"/>
    </xf>
    <xf numFmtId="10" fontId="7" fillId="2" borderId="6" xfId="2" applyNumberFormat="1" applyFont="1" applyFill="1" applyBorder="1" applyAlignment="1" applyProtection="1">
      <alignment horizontal="left" vertical="top"/>
      <protection locked="0"/>
    </xf>
    <xf numFmtId="0" fontId="6" fillId="8" borderId="12" xfId="0" applyFont="1" applyFill="1" applyBorder="1" applyAlignment="1">
      <alignment horizontal="left" vertical="top" wrapText="1"/>
    </xf>
    <xf numFmtId="2" fontId="7" fillId="2" borderId="6" xfId="2" applyNumberFormat="1" applyFont="1" applyFill="1" applyBorder="1" applyAlignment="1" applyProtection="1">
      <alignment horizontal="left" vertical="top"/>
      <protection locked="0"/>
    </xf>
    <xf numFmtId="2" fontId="7" fillId="2" borderId="6" xfId="0" applyNumberFormat="1" applyFont="1" applyFill="1" applyBorder="1" applyAlignment="1" applyProtection="1">
      <alignment horizontal="left" vertical="top"/>
      <protection locked="0"/>
    </xf>
    <xf numFmtId="4" fontId="7" fillId="2" borderId="6" xfId="0" applyNumberFormat="1" applyFont="1" applyFill="1" applyBorder="1" applyAlignment="1" applyProtection="1">
      <alignment horizontal="left" vertical="top"/>
      <protection locked="0"/>
    </xf>
    <xf numFmtId="3" fontId="7" fillId="2" borderId="6" xfId="0" applyNumberFormat="1" applyFont="1" applyFill="1" applyBorder="1" applyAlignment="1" applyProtection="1">
      <alignment horizontal="left" vertical="top"/>
      <protection locked="0"/>
    </xf>
    <xf numFmtId="10" fontId="7" fillId="0" borderId="6" xfId="2" applyNumberFormat="1" applyFont="1" applyFill="1" applyBorder="1" applyAlignment="1" applyProtection="1">
      <alignment horizontal="left" vertical="top"/>
      <protection locked="0"/>
    </xf>
    <xf numFmtId="14" fontId="7" fillId="2" borderId="6" xfId="0" applyNumberFormat="1" applyFont="1" applyFill="1" applyBorder="1" applyAlignment="1" applyProtection="1">
      <alignment horizontal="left" vertical="top"/>
      <protection locked="0"/>
    </xf>
    <xf numFmtId="0" fontId="7" fillId="2" borderId="0" xfId="0" applyFont="1" applyFill="1" applyAlignment="1" applyProtection="1">
      <alignment horizontal="left" vertical="top"/>
      <protection locked="0"/>
    </xf>
    <xf numFmtId="2" fontId="7" fillId="2" borderId="0" xfId="0" applyNumberFormat="1" applyFont="1" applyFill="1" applyAlignment="1" applyProtection="1">
      <alignment horizontal="left" vertical="top"/>
      <protection locked="0"/>
    </xf>
    <xf numFmtId="10" fontId="7" fillId="2" borderId="0" xfId="2" applyNumberFormat="1" applyFont="1" applyFill="1" applyBorder="1" applyAlignment="1" applyProtection="1">
      <alignment horizontal="left" vertical="top"/>
      <protection locked="0"/>
    </xf>
    <xf numFmtId="2" fontId="7" fillId="2" borderId="0" xfId="2" applyNumberFormat="1" applyFont="1" applyFill="1" applyBorder="1" applyAlignment="1" applyProtection="1">
      <alignment horizontal="left" vertical="top"/>
      <protection locked="0"/>
    </xf>
    <xf numFmtId="169" fontId="7" fillId="2" borderId="0" xfId="2" applyNumberFormat="1" applyFont="1" applyFill="1" applyBorder="1" applyAlignment="1" applyProtection="1">
      <alignment horizontal="left" vertical="top"/>
      <protection locked="0"/>
    </xf>
    <xf numFmtId="167" fontId="7" fillId="2" borderId="0" xfId="1" applyNumberFormat="1" applyFont="1" applyFill="1" applyBorder="1" applyAlignment="1" applyProtection="1">
      <alignment horizontal="left" vertical="top"/>
      <protection locked="0"/>
    </xf>
    <xf numFmtId="173" fontId="7" fillId="2" borderId="0" xfId="0" applyNumberFormat="1" applyFont="1" applyFill="1" applyAlignment="1" applyProtection="1">
      <alignment horizontal="left" vertical="top"/>
      <protection locked="0"/>
    </xf>
    <xf numFmtId="3" fontId="7" fillId="2" borderId="0" xfId="0" applyNumberFormat="1" applyFont="1" applyFill="1" applyAlignment="1" applyProtection="1">
      <alignment horizontal="left" vertical="top"/>
      <protection locked="0"/>
    </xf>
    <xf numFmtId="14" fontId="7" fillId="2" borderId="0" xfId="0" applyNumberFormat="1" applyFont="1" applyFill="1" applyAlignment="1" applyProtection="1">
      <alignment horizontal="left" vertical="top"/>
      <protection locked="0"/>
    </xf>
    <xf numFmtId="10" fontId="7" fillId="2" borderId="6" xfId="2" applyNumberFormat="1" applyFont="1" applyFill="1" applyBorder="1" applyAlignment="1" applyProtection="1">
      <alignment horizontal="left" vertical="top" wrapText="1"/>
      <protection locked="0"/>
    </xf>
    <xf numFmtId="168" fontId="7" fillId="2" borderId="6" xfId="0" applyNumberFormat="1" applyFont="1" applyFill="1" applyBorder="1" applyAlignment="1" applyProtection="1">
      <alignment horizontal="left" vertical="top" wrapText="1"/>
      <protection locked="0"/>
    </xf>
    <xf numFmtId="164" fontId="7" fillId="2" borderId="6" xfId="2" applyNumberFormat="1" applyFont="1" applyFill="1" applyBorder="1" applyAlignment="1" applyProtection="1">
      <alignment horizontal="left" vertical="top" wrapText="1"/>
      <protection locked="0"/>
    </xf>
    <xf numFmtId="49" fontId="7" fillId="2" borderId="6" xfId="0" applyNumberFormat="1" applyFont="1" applyFill="1" applyBorder="1" applyAlignment="1" applyProtection="1">
      <alignment horizontal="left" vertical="top" wrapText="1"/>
      <protection locked="0"/>
    </xf>
    <xf numFmtId="10" fontId="7" fillId="0" borderId="6" xfId="0" applyNumberFormat="1" applyFont="1" applyBorder="1" applyAlignment="1" applyProtection="1">
      <alignment horizontal="left" vertical="top" wrapText="1"/>
      <protection locked="0"/>
    </xf>
    <xf numFmtId="2" fontId="7" fillId="2" borderId="6" xfId="0" applyNumberFormat="1" applyFont="1" applyFill="1" applyBorder="1" applyAlignment="1" applyProtection="1">
      <alignment horizontal="left" vertical="top" wrapText="1"/>
      <protection locked="0"/>
    </xf>
    <xf numFmtId="0" fontId="7" fillId="2" borderId="3" xfId="0" applyFont="1" applyFill="1" applyBorder="1" applyAlignment="1" applyProtection="1">
      <alignment horizontal="left" vertical="top" wrapText="1"/>
      <protection locked="0"/>
    </xf>
    <xf numFmtId="10" fontId="8" fillId="2" borderId="3" xfId="2" applyNumberFormat="1" applyFont="1" applyFill="1" applyBorder="1" applyAlignment="1" applyProtection="1">
      <alignment horizontal="left" vertical="top" wrapText="1"/>
      <protection locked="0"/>
    </xf>
    <xf numFmtId="3" fontId="7" fillId="2" borderId="3" xfId="0" applyNumberFormat="1" applyFont="1" applyFill="1" applyBorder="1" applyAlignment="1" applyProtection="1">
      <alignment horizontal="left" vertical="top" wrapText="1"/>
      <protection locked="0"/>
    </xf>
    <xf numFmtId="10" fontId="7" fillId="2" borderId="3" xfId="2" applyNumberFormat="1" applyFont="1" applyFill="1" applyBorder="1" applyAlignment="1" applyProtection="1">
      <alignment horizontal="left" vertical="top" wrapText="1"/>
      <protection locked="0"/>
    </xf>
    <xf numFmtId="2" fontId="7" fillId="2" borderId="3" xfId="0" applyNumberFormat="1" applyFont="1" applyFill="1" applyBorder="1" applyAlignment="1" applyProtection="1">
      <alignment horizontal="left" vertical="top" wrapText="1"/>
      <protection locked="0"/>
    </xf>
    <xf numFmtId="167" fontId="8" fillId="2" borderId="3" xfId="1" applyNumberFormat="1" applyFont="1" applyFill="1" applyBorder="1" applyAlignment="1" applyProtection="1">
      <alignment horizontal="left" vertical="top" wrapText="1"/>
      <protection locked="0"/>
    </xf>
    <xf numFmtId="167" fontId="7" fillId="2" borderId="3" xfId="1" applyNumberFormat="1" applyFont="1" applyFill="1" applyBorder="1" applyAlignment="1" applyProtection="1">
      <alignment horizontal="left" vertical="top" wrapText="1"/>
      <protection locked="0"/>
    </xf>
    <xf numFmtId="170" fontId="8" fillId="2" borderId="3" xfId="1" applyNumberFormat="1" applyFont="1" applyFill="1" applyBorder="1" applyAlignment="1" applyProtection="1">
      <alignment horizontal="left" vertical="top" wrapText="1"/>
      <protection locked="0"/>
    </xf>
    <xf numFmtId="168" fontId="7" fillId="2" borderId="3" xfId="0" applyNumberFormat="1" applyFont="1" applyFill="1" applyBorder="1" applyAlignment="1" applyProtection="1">
      <alignment horizontal="left" vertical="top" wrapText="1"/>
      <protection locked="0"/>
    </xf>
    <xf numFmtId="164" fontId="7" fillId="2" borderId="3" xfId="2" applyNumberFormat="1" applyFont="1" applyFill="1" applyBorder="1" applyAlignment="1" applyProtection="1">
      <alignment horizontal="left" vertical="top" wrapText="1"/>
      <protection locked="0"/>
    </xf>
    <xf numFmtId="0" fontId="7" fillId="2" borderId="0" xfId="0" applyFont="1" applyFill="1" applyAlignment="1" applyProtection="1">
      <alignment horizontal="left" vertical="top" wrapText="1"/>
      <protection locked="0"/>
    </xf>
    <xf numFmtId="3" fontId="7" fillId="2" borderId="0" xfId="0" applyNumberFormat="1" applyFont="1" applyFill="1" applyAlignment="1" applyProtection="1">
      <alignment horizontal="left" vertical="top" wrapText="1"/>
      <protection locked="0"/>
    </xf>
    <xf numFmtId="2" fontId="7" fillId="2" borderId="0" xfId="0" applyNumberFormat="1" applyFont="1" applyFill="1" applyAlignment="1" applyProtection="1">
      <alignment horizontal="left" vertical="top" wrapText="1"/>
      <protection locked="0"/>
    </xf>
    <xf numFmtId="167" fontId="8" fillId="2" borderId="0" xfId="1" applyNumberFormat="1" applyFont="1" applyFill="1" applyBorder="1" applyAlignment="1" applyProtection="1">
      <alignment horizontal="left" vertical="top" wrapText="1"/>
      <protection locked="0"/>
    </xf>
    <xf numFmtId="10" fontId="8" fillId="2" borderId="0" xfId="2" applyNumberFormat="1" applyFont="1" applyFill="1" applyBorder="1" applyAlignment="1" applyProtection="1">
      <alignment horizontal="left" vertical="top" wrapText="1"/>
      <protection locked="0"/>
    </xf>
    <xf numFmtId="10" fontId="7" fillId="2" borderId="0" xfId="2" applyNumberFormat="1" applyFont="1" applyFill="1" applyBorder="1" applyAlignment="1" applyProtection="1">
      <alignment horizontal="left" vertical="top" wrapText="1"/>
      <protection locked="0"/>
    </xf>
    <xf numFmtId="167" fontId="7" fillId="2" borderId="0" xfId="1" applyNumberFormat="1" applyFont="1" applyFill="1" applyBorder="1" applyAlignment="1" applyProtection="1">
      <alignment horizontal="left" vertical="top" wrapText="1"/>
      <protection locked="0"/>
    </xf>
    <xf numFmtId="168" fontId="7" fillId="2" borderId="0" xfId="0" applyNumberFormat="1" applyFont="1" applyFill="1" applyAlignment="1" applyProtection="1">
      <alignment horizontal="left" vertical="top" wrapText="1"/>
      <protection locked="0"/>
    </xf>
    <xf numFmtId="164" fontId="7" fillId="2" borderId="0" xfId="2" applyNumberFormat="1" applyFont="1" applyFill="1" applyBorder="1" applyAlignment="1" applyProtection="1">
      <alignment horizontal="left" vertical="top" wrapText="1"/>
      <protection locked="0"/>
    </xf>
    <xf numFmtId="9" fontId="7" fillId="0" borderId="6" xfId="0" applyNumberFormat="1" applyFont="1" applyBorder="1" applyAlignment="1" applyProtection="1">
      <alignment horizontal="left" vertical="top" wrapText="1"/>
      <protection locked="0"/>
    </xf>
    <xf numFmtId="4" fontId="7" fillId="2" borderId="6" xfId="2" applyNumberFormat="1" applyFont="1" applyFill="1" applyBorder="1" applyAlignment="1" applyProtection="1">
      <alignment horizontal="left" vertical="top" wrapText="1"/>
      <protection locked="0"/>
    </xf>
    <xf numFmtId="4" fontId="7" fillId="2" borderId="3" xfId="0" applyNumberFormat="1" applyFont="1" applyFill="1" applyBorder="1" applyAlignment="1" applyProtection="1">
      <alignment horizontal="left" vertical="top" wrapText="1"/>
      <protection locked="0"/>
    </xf>
    <xf numFmtId="174" fontId="7" fillId="2" borderId="3" xfId="1" applyNumberFormat="1" applyFont="1" applyFill="1" applyBorder="1" applyAlignment="1" applyProtection="1">
      <alignment horizontal="left" vertical="top" wrapText="1"/>
      <protection locked="0"/>
    </xf>
    <xf numFmtId="4" fontId="7" fillId="2" borderId="3" xfId="2" applyNumberFormat="1" applyFont="1" applyFill="1" applyBorder="1" applyAlignment="1" applyProtection="1">
      <alignment horizontal="left" vertical="top" wrapText="1"/>
      <protection locked="0"/>
    </xf>
    <xf numFmtId="4" fontId="7" fillId="2" borderId="0" xfId="0" applyNumberFormat="1" applyFont="1" applyFill="1" applyAlignment="1" applyProtection="1">
      <alignment horizontal="left" vertical="top" wrapText="1"/>
      <protection locked="0"/>
    </xf>
    <xf numFmtId="164" fontId="8" fillId="2" borderId="0" xfId="2" applyNumberFormat="1" applyFont="1" applyFill="1" applyBorder="1" applyAlignment="1" applyProtection="1">
      <alignment horizontal="left" vertical="top" wrapText="1"/>
      <protection locked="0"/>
    </xf>
    <xf numFmtId="174" fontId="7" fillId="2" borderId="0" xfId="1" applyNumberFormat="1" applyFont="1" applyFill="1" applyBorder="1" applyAlignment="1" applyProtection="1">
      <alignment horizontal="left" vertical="top" wrapText="1"/>
      <protection locked="0"/>
    </xf>
    <xf numFmtId="4" fontId="7" fillId="2" borderId="0" xfId="2" applyNumberFormat="1" applyFont="1" applyFill="1" applyBorder="1" applyAlignment="1" applyProtection="1">
      <alignment horizontal="left" vertical="top" wrapText="1"/>
      <protection locked="0"/>
    </xf>
    <xf numFmtId="10" fontId="7" fillId="4" borderId="6" xfId="2" applyNumberFormat="1" applyFont="1" applyFill="1" applyBorder="1" applyAlignment="1" applyProtection="1">
      <alignment horizontal="left" vertical="top" wrapText="1"/>
      <protection locked="0"/>
    </xf>
    <xf numFmtId="3" fontId="7" fillId="0" borderId="6" xfId="0" applyNumberFormat="1" applyFont="1" applyBorder="1" applyAlignment="1" applyProtection="1">
      <alignment horizontal="left" vertical="top" wrapText="1"/>
      <protection locked="0"/>
    </xf>
    <xf numFmtId="0" fontId="7" fillId="2" borderId="3" xfId="0" applyFont="1" applyFill="1" applyBorder="1" applyAlignment="1" applyProtection="1">
      <alignment horizontal="left" vertical="top"/>
      <protection locked="0"/>
    </xf>
    <xf numFmtId="3" fontId="7" fillId="2" borderId="3" xfId="0" applyNumberFormat="1" applyFont="1" applyFill="1" applyBorder="1" applyAlignment="1" applyProtection="1">
      <alignment horizontal="left" vertical="top"/>
      <protection locked="0"/>
    </xf>
    <xf numFmtId="10" fontId="8" fillId="2" borderId="3" xfId="2" applyNumberFormat="1" applyFont="1" applyFill="1" applyBorder="1" applyAlignment="1" applyProtection="1">
      <alignment horizontal="left" vertical="top"/>
      <protection locked="0"/>
    </xf>
    <xf numFmtId="2" fontId="7" fillId="2" borderId="3" xfId="0" applyNumberFormat="1" applyFont="1" applyFill="1" applyBorder="1" applyAlignment="1" applyProtection="1">
      <alignment horizontal="left" vertical="top"/>
      <protection locked="0"/>
    </xf>
    <xf numFmtId="167" fontId="8" fillId="2" borderId="3" xfId="1" applyNumberFormat="1" applyFont="1" applyFill="1" applyBorder="1" applyAlignment="1" applyProtection="1">
      <alignment horizontal="left" vertical="top"/>
      <protection locked="0"/>
    </xf>
    <xf numFmtId="167" fontId="7" fillId="2" borderId="3" xfId="1" applyNumberFormat="1" applyFont="1" applyFill="1" applyBorder="1" applyAlignment="1" applyProtection="1">
      <alignment horizontal="left" vertical="top"/>
      <protection locked="0"/>
    </xf>
    <xf numFmtId="9" fontId="8" fillId="2" borderId="3" xfId="2" applyFont="1" applyFill="1" applyBorder="1" applyAlignment="1" applyProtection="1">
      <alignment horizontal="left" vertical="top"/>
      <protection locked="0"/>
    </xf>
    <xf numFmtId="10" fontId="7" fillId="2" borderId="3" xfId="2" applyNumberFormat="1" applyFont="1" applyFill="1" applyBorder="1" applyAlignment="1" applyProtection="1">
      <alignment horizontal="left" vertical="top"/>
      <protection locked="0"/>
    </xf>
    <xf numFmtId="175" fontId="8" fillId="0" borderId="3" xfId="2" applyNumberFormat="1" applyFont="1" applyFill="1" applyBorder="1" applyAlignment="1" applyProtection="1">
      <alignment horizontal="left" vertical="top"/>
      <protection locked="0"/>
    </xf>
    <xf numFmtId="174" fontId="7" fillId="2" borderId="6" xfId="1" applyNumberFormat="1" applyFont="1" applyFill="1" applyBorder="1" applyAlignment="1" applyProtection="1">
      <alignment horizontal="left" vertical="top" wrapText="1"/>
      <protection locked="0"/>
    </xf>
    <xf numFmtId="9" fontId="8" fillId="0" borderId="3" xfId="0" applyNumberFormat="1" applyFont="1" applyBorder="1" applyAlignment="1" applyProtection="1">
      <alignment horizontal="left" vertical="top" wrapText="1"/>
      <protection locked="0"/>
    </xf>
    <xf numFmtId="0" fontId="7" fillId="0" borderId="3" xfId="0" applyFont="1" applyBorder="1" applyAlignment="1" applyProtection="1">
      <alignment horizontal="left" vertical="top" wrapText="1"/>
      <protection locked="0"/>
    </xf>
    <xf numFmtId="172" fontId="8" fillId="2" borderId="3" xfId="1" applyNumberFormat="1" applyFont="1" applyFill="1" applyBorder="1" applyAlignment="1" applyProtection="1">
      <alignment horizontal="left" vertical="top" wrapText="1"/>
      <protection locked="0"/>
    </xf>
    <xf numFmtId="9" fontId="7" fillId="0" borderId="0" xfId="0" applyNumberFormat="1"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10" fontId="8" fillId="0" borderId="3" xfId="0" applyNumberFormat="1" applyFont="1" applyBorder="1" applyAlignment="1" applyProtection="1">
      <alignment horizontal="left" vertical="top" wrapText="1"/>
      <protection locked="0"/>
    </xf>
    <xf numFmtId="3" fontId="8" fillId="2" borderId="3" xfId="0" applyNumberFormat="1" applyFont="1" applyFill="1" applyBorder="1" applyAlignment="1" applyProtection="1">
      <alignment horizontal="left" vertical="top" wrapText="1"/>
      <protection locked="0"/>
    </xf>
    <xf numFmtId="10" fontId="8" fillId="2" borderId="3" xfId="0" applyNumberFormat="1" applyFont="1" applyFill="1" applyBorder="1" applyAlignment="1" applyProtection="1">
      <alignment horizontal="left" vertical="top" wrapText="1"/>
      <protection locked="0"/>
    </xf>
    <xf numFmtId="175" fontId="8" fillId="0" borderId="3" xfId="0" applyNumberFormat="1" applyFont="1" applyBorder="1" applyAlignment="1" applyProtection="1">
      <alignment horizontal="left" vertical="top" wrapText="1"/>
      <protection locked="0"/>
    </xf>
    <xf numFmtId="0" fontId="8" fillId="2" borderId="3" xfId="0" applyFont="1" applyFill="1" applyBorder="1" applyAlignment="1" applyProtection="1">
      <alignment horizontal="left" vertical="top" wrapText="1"/>
      <protection locked="0"/>
    </xf>
    <xf numFmtId="4" fontId="8" fillId="2" borderId="3" xfId="0" applyNumberFormat="1" applyFont="1" applyFill="1" applyBorder="1" applyAlignment="1" applyProtection="1">
      <alignment horizontal="left" vertical="top" wrapText="1"/>
      <protection locked="0"/>
    </xf>
    <xf numFmtId="0" fontId="11" fillId="2" borderId="6" xfId="0" applyFont="1" applyFill="1" applyBorder="1" applyAlignment="1" applyProtection="1">
      <alignment horizontal="left" vertical="top" indent="2"/>
      <protection locked="0"/>
    </xf>
    <xf numFmtId="0" fontId="11" fillId="2" borderId="8" xfId="0" applyFont="1" applyFill="1" applyBorder="1" applyAlignment="1" applyProtection="1">
      <alignment horizontal="left" vertical="top" indent="2"/>
      <protection locked="0"/>
    </xf>
    <xf numFmtId="9" fontId="12" fillId="2" borderId="6" xfId="0" applyNumberFormat="1" applyFont="1" applyFill="1" applyBorder="1" applyAlignment="1" applyProtection="1">
      <alignment horizontal="left" vertical="top" indent="2"/>
      <protection locked="0"/>
    </xf>
    <xf numFmtId="0" fontId="13" fillId="0" borderId="0" xfId="0" applyFont="1" applyAlignment="1">
      <alignment vertical="center"/>
    </xf>
    <xf numFmtId="0" fontId="16" fillId="0" borderId="0" xfId="0" applyFont="1" applyAlignment="1">
      <alignment vertical="center"/>
    </xf>
    <xf numFmtId="0" fontId="14" fillId="12" borderId="13" xfId="0" applyFont="1" applyFill="1" applyBorder="1" applyAlignment="1">
      <alignment vertical="center"/>
    </xf>
    <xf numFmtId="0" fontId="15" fillId="10" borderId="0" xfId="0" applyFont="1" applyFill="1" applyAlignment="1">
      <alignment vertical="center"/>
    </xf>
    <xf numFmtId="0" fontId="17" fillId="10" borderId="0" xfId="0" applyFont="1" applyFill="1" applyAlignment="1">
      <alignment vertical="center"/>
    </xf>
    <xf numFmtId="0" fontId="14" fillId="12" borderId="14" xfId="0" applyFont="1" applyFill="1" applyBorder="1" applyAlignment="1">
      <alignment vertical="center"/>
    </xf>
    <xf numFmtId="16" fontId="15" fillId="10" borderId="0" xfId="0" quotePrefix="1" applyNumberFormat="1" applyFont="1" applyFill="1" applyAlignment="1">
      <alignment vertical="center"/>
    </xf>
    <xf numFmtId="171" fontId="15" fillId="10" borderId="0" xfId="1" applyNumberFormat="1" applyFont="1" applyFill="1" applyAlignment="1">
      <alignment vertical="center"/>
    </xf>
    <xf numFmtId="0" fontId="4" fillId="13" borderId="0" xfId="0" applyFont="1" applyFill="1" applyAlignment="1">
      <alignment horizontal="left" vertical="top" wrapText="1"/>
    </xf>
    <xf numFmtId="3" fontId="7" fillId="13" borderId="6" xfId="0" applyNumberFormat="1" applyFont="1" applyFill="1" applyBorder="1" applyAlignment="1" applyProtection="1">
      <alignment horizontal="left" vertical="top"/>
      <protection locked="0"/>
    </xf>
    <xf numFmtId="10" fontId="7" fillId="13" borderId="6" xfId="2" applyNumberFormat="1" applyFont="1" applyFill="1" applyBorder="1" applyAlignment="1" applyProtection="1">
      <alignment horizontal="left" vertical="top"/>
      <protection locked="0"/>
    </xf>
    <xf numFmtId="0" fontId="7" fillId="13" borderId="6" xfId="0" applyFont="1" applyFill="1" applyBorder="1" applyAlignment="1" applyProtection="1">
      <alignment horizontal="left" vertical="top"/>
      <protection locked="0"/>
    </xf>
    <xf numFmtId="1" fontId="7" fillId="13" borderId="6" xfId="2" applyNumberFormat="1" applyFont="1" applyFill="1" applyBorder="1" applyAlignment="1" applyProtection="1">
      <alignment horizontal="left" vertical="top"/>
      <protection locked="0"/>
    </xf>
    <xf numFmtId="14" fontId="7" fillId="13" borderId="6" xfId="0" applyNumberFormat="1" applyFont="1" applyFill="1" applyBorder="1" applyAlignment="1" applyProtection="1">
      <alignment horizontal="left" vertical="top"/>
      <protection locked="0"/>
    </xf>
    <xf numFmtId="3" fontId="7" fillId="13" borderId="6" xfId="0" applyNumberFormat="1" applyFont="1" applyFill="1" applyBorder="1" applyAlignment="1" applyProtection="1">
      <alignment horizontal="left" vertical="top" wrapText="1"/>
      <protection locked="0"/>
    </xf>
    <xf numFmtId="2" fontId="7" fillId="13" borderId="6" xfId="0" applyNumberFormat="1" applyFont="1" applyFill="1" applyBorder="1" applyAlignment="1" applyProtection="1">
      <alignment horizontal="left" vertical="top" wrapText="1"/>
      <protection locked="0"/>
    </xf>
    <xf numFmtId="174" fontId="7" fillId="13" borderId="6" xfId="1" applyNumberFormat="1" applyFont="1" applyFill="1" applyBorder="1" applyAlignment="1" applyProtection="1">
      <alignment horizontal="left" vertical="top" wrapText="1"/>
      <protection locked="0"/>
    </xf>
    <xf numFmtId="0" fontId="7" fillId="13" borderId="6" xfId="0" applyFont="1" applyFill="1" applyBorder="1" applyAlignment="1" applyProtection="1">
      <alignment horizontal="left" vertical="top" wrapText="1"/>
      <protection locked="0"/>
    </xf>
    <xf numFmtId="10" fontId="7" fillId="13" borderId="6" xfId="0" applyNumberFormat="1" applyFont="1" applyFill="1" applyBorder="1" applyAlignment="1" applyProtection="1">
      <alignment horizontal="left" vertical="top" wrapText="1"/>
      <protection locked="0"/>
    </xf>
    <xf numFmtId="9" fontId="7" fillId="13" borderId="6" xfId="0" applyNumberFormat="1" applyFont="1" applyFill="1" applyBorder="1" applyAlignment="1" applyProtection="1">
      <alignment horizontal="left" vertical="top" wrapText="1"/>
      <protection locked="0"/>
    </xf>
    <xf numFmtId="10" fontId="7" fillId="13" borderId="6" xfId="2" applyNumberFormat="1" applyFont="1" applyFill="1" applyBorder="1" applyAlignment="1" applyProtection="1">
      <alignment horizontal="left" vertical="top" wrapText="1"/>
      <protection locked="0"/>
    </xf>
    <xf numFmtId="2" fontId="7" fillId="13" borderId="6" xfId="2" applyNumberFormat="1" applyFont="1" applyFill="1" applyBorder="1" applyAlignment="1" applyProtection="1">
      <alignment horizontal="left" vertical="top" wrapText="1"/>
      <protection locked="0"/>
    </xf>
    <xf numFmtId="4" fontId="7" fillId="13" borderId="6" xfId="0" applyNumberFormat="1" applyFont="1" applyFill="1" applyBorder="1" applyAlignment="1" applyProtection="1">
      <alignment horizontal="left" vertical="top" wrapText="1"/>
      <protection locked="0"/>
    </xf>
    <xf numFmtId="10" fontId="7" fillId="0" borderId="6" xfId="2" applyNumberFormat="1" applyFont="1" applyFill="1" applyBorder="1" applyAlignment="1" applyProtection="1">
      <alignment horizontal="left" vertical="top" wrapText="1"/>
      <protection locked="0"/>
    </xf>
    <xf numFmtId="167" fontId="7" fillId="13" borderId="6" xfId="1" applyNumberFormat="1" applyFont="1" applyFill="1" applyBorder="1" applyAlignment="1" applyProtection="1">
      <alignment horizontal="left" vertical="top" wrapText="1"/>
      <protection locked="0"/>
    </xf>
    <xf numFmtId="167" fontId="7" fillId="13" borderId="7" xfId="1" applyNumberFormat="1" applyFont="1" applyFill="1" applyBorder="1" applyAlignment="1" applyProtection="1">
      <alignment horizontal="left" vertical="top" wrapText="1"/>
      <protection locked="0"/>
    </xf>
    <xf numFmtId="167" fontId="7" fillId="13" borderId="6" xfId="1" applyNumberFormat="1" applyFont="1" applyFill="1" applyBorder="1" applyAlignment="1" applyProtection="1">
      <alignment horizontal="left" vertical="top"/>
      <protection locked="0"/>
    </xf>
    <xf numFmtId="164" fontId="7" fillId="13" borderId="6" xfId="2" applyNumberFormat="1" applyFont="1" applyFill="1" applyBorder="1" applyAlignment="1" applyProtection="1">
      <alignment horizontal="left" vertical="top" wrapText="1"/>
      <protection locked="0"/>
    </xf>
    <xf numFmtId="176" fontId="7" fillId="13" borderId="6" xfId="2" applyNumberFormat="1" applyFont="1" applyFill="1" applyBorder="1" applyAlignment="1" applyProtection="1">
      <alignment horizontal="left" vertical="top" wrapText="1"/>
      <protection locked="0"/>
    </xf>
    <xf numFmtId="167" fontId="7" fillId="13" borderId="11" xfId="1" applyNumberFormat="1" applyFont="1" applyFill="1" applyBorder="1" applyAlignment="1" applyProtection="1">
      <alignment horizontal="left" vertical="top"/>
      <protection locked="0"/>
    </xf>
    <xf numFmtId="14" fontId="7" fillId="13" borderId="11" xfId="1" applyNumberFormat="1" applyFont="1" applyFill="1" applyBorder="1" applyAlignment="1" applyProtection="1">
      <alignment horizontal="left" vertical="top"/>
      <protection locked="0"/>
    </xf>
    <xf numFmtId="174" fontId="7" fillId="2" borderId="6" xfId="1" applyNumberFormat="1" applyFont="1" applyFill="1" applyBorder="1" applyAlignment="1" applyProtection="1">
      <alignment horizontal="left" vertical="top"/>
      <protection locked="0"/>
    </xf>
    <xf numFmtId="0" fontId="6" fillId="8" borderId="12" xfId="0" applyFont="1" applyFill="1" applyBorder="1" applyAlignment="1">
      <alignment vertical="top" wrapText="1"/>
    </xf>
    <xf numFmtId="10" fontId="10" fillId="11" borderId="0" xfId="0" applyNumberFormat="1" applyFont="1" applyFill="1" applyAlignment="1">
      <alignment horizontal="left" vertical="top" wrapText="1"/>
    </xf>
    <xf numFmtId="0" fontId="4" fillId="2" borderId="0" xfId="0" applyFont="1" applyFill="1" applyAlignment="1">
      <alignment vertical="top" wrapText="1"/>
    </xf>
    <xf numFmtId="14" fontId="7" fillId="13" borderId="6" xfId="0" applyNumberFormat="1" applyFont="1" applyFill="1" applyBorder="1" applyAlignment="1" applyProtection="1">
      <alignment horizontal="left" vertical="top" wrapText="1"/>
      <protection locked="0"/>
    </xf>
    <xf numFmtId="0" fontId="8" fillId="2" borderId="0" xfId="0" applyFont="1" applyFill="1" applyAlignment="1" applyProtection="1">
      <alignment horizontal="left" vertical="top" wrapText="1"/>
      <protection locked="0"/>
    </xf>
    <xf numFmtId="4" fontId="8" fillId="2" borderId="0" xfId="0" applyNumberFormat="1" applyFont="1" applyFill="1" applyAlignment="1" applyProtection="1">
      <alignment horizontal="left" vertical="top" wrapText="1"/>
      <protection locked="0"/>
    </xf>
    <xf numFmtId="3" fontId="8" fillId="2" borderId="0" xfId="0" applyNumberFormat="1" applyFont="1" applyFill="1" applyAlignment="1" applyProtection="1">
      <alignment horizontal="left" vertical="top" wrapText="1"/>
      <protection locked="0"/>
    </xf>
    <xf numFmtId="10" fontId="8" fillId="2" borderId="0" xfId="0" applyNumberFormat="1" applyFont="1" applyFill="1" applyAlignment="1" applyProtection="1">
      <alignment horizontal="left" vertical="top" wrapText="1"/>
      <protection locked="0"/>
    </xf>
    <xf numFmtId="175" fontId="8" fillId="0" borderId="0" xfId="0" applyNumberFormat="1" applyFont="1" applyAlignment="1" applyProtection="1">
      <alignment horizontal="left" vertical="top" wrapText="1"/>
      <protection locked="0"/>
    </xf>
    <xf numFmtId="10" fontId="4" fillId="13" borderId="18" xfId="2" applyNumberFormat="1" applyFont="1" applyFill="1" applyBorder="1" applyAlignment="1">
      <alignment horizontal="center"/>
    </xf>
    <xf numFmtId="172" fontId="7" fillId="13" borderId="18" xfId="1" applyNumberFormat="1" applyFont="1" applyFill="1" applyBorder="1" applyAlignment="1" applyProtection="1">
      <alignment horizontal="left" vertical="top"/>
      <protection locked="0"/>
    </xf>
    <xf numFmtId="9" fontId="7" fillId="13" borderId="18" xfId="2" applyFont="1" applyFill="1" applyBorder="1" applyAlignment="1" applyProtection="1">
      <alignment horizontal="left" vertical="top"/>
      <protection locked="0"/>
    </xf>
    <xf numFmtId="178" fontId="4" fillId="0" borderId="18" xfId="0" applyNumberFormat="1" applyFont="1" applyBorder="1" applyAlignment="1">
      <alignment horizontal="left" vertical="top" wrapText="1"/>
    </xf>
    <xf numFmtId="0" fontId="3" fillId="2" borderId="3" xfId="0" applyFont="1" applyFill="1" applyBorder="1" applyAlignment="1">
      <alignment vertical="top" wrapText="1"/>
    </xf>
    <xf numFmtId="164" fontId="3" fillId="2" borderId="3" xfId="2" applyNumberFormat="1" applyFont="1" applyFill="1" applyBorder="1" applyAlignment="1">
      <alignment horizontal="right" vertical="top" wrapText="1" indent="2"/>
    </xf>
    <xf numFmtId="171" fontId="3" fillId="2" borderId="3" xfId="1" applyNumberFormat="1" applyFont="1" applyFill="1" applyBorder="1" applyAlignment="1">
      <alignment horizontal="left" vertical="top" wrapText="1" indent="2"/>
    </xf>
    <xf numFmtId="0" fontId="9" fillId="0" borderId="0" xfId="0" applyFont="1" applyAlignment="1">
      <alignment horizontal="left" vertical="top" wrapText="1"/>
    </xf>
    <xf numFmtId="178" fontId="5" fillId="2" borderId="0" xfId="0" applyNumberFormat="1" applyFont="1" applyFill="1" applyAlignment="1">
      <alignment horizontal="left" vertical="top" wrapText="1"/>
    </xf>
    <xf numFmtId="178" fontId="9" fillId="2" borderId="0" xfId="0" applyNumberFormat="1" applyFont="1" applyFill="1" applyAlignment="1">
      <alignment horizontal="left" vertical="top" wrapText="1"/>
    </xf>
    <xf numFmtId="3" fontId="4" fillId="0" borderId="0" xfId="0" applyNumberFormat="1" applyFont="1" applyAlignment="1">
      <alignment horizontal="left" vertical="top" wrapText="1"/>
    </xf>
    <xf numFmtId="0" fontId="5" fillId="0" borderId="0" xfId="0" applyFont="1" applyAlignment="1">
      <alignment horizontal="left" vertical="top" wrapText="1"/>
    </xf>
    <xf numFmtId="0" fontId="3" fillId="2" borderId="3" xfId="0" applyFont="1" applyFill="1" applyBorder="1" applyAlignment="1">
      <alignment horizontal="left" vertical="top" wrapText="1" indent="2"/>
    </xf>
    <xf numFmtId="177" fontId="5" fillId="2" borderId="0" xfId="2" applyNumberFormat="1" applyFont="1" applyFill="1" applyAlignment="1">
      <alignment horizontal="left" vertical="top" wrapText="1"/>
    </xf>
    <xf numFmtId="178" fontId="4" fillId="2" borderId="0" xfId="0" applyNumberFormat="1" applyFont="1" applyFill="1" applyAlignment="1">
      <alignment horizontal="left" vertical="top" wrapText="1"/>
    </xf>
    <xf numFmtId="166" fontId="8" fillId="3" borderId="4" xfId="0" applyNumberFormat="1" applyFont="1" applyFill="1" applyBorder="1" applyAlignment="1">
      <alignment horizontal="left" vertical="top" wrapText="1"/>
    </xf>
    <xf numFmtId="166" fontId="8" fillId="3" borderId="16" xfId="0" applyNumberFormat="1" applyFont="1" applyFill="1" applyBorder="1" applyAlignment="1">
      <alignment horizontal="left" vertical="top" wrapText="1"/>
    </xf>
    <xf numFmtId="0" fontId="5" fillId="2" borderId="2" xfId="0" applyFont="1" applyFill="1" applyBorder="1" applyAlignment="1">
      <alignment horizontal="left" vertical="top" wrapText="1"/>
    </xf>
    <xf numFmtId="10" fontId="5" fillId="2" borderId="2" xfId="2" applyNumberFormat="1" applyFont="1" applyFill="1" applyBorder="1" applyAlignment="1">
      <alignment horizontal="left" vertical="top" wrapText="1"/>
    </xf>
    <xf numFmtId="0" fontId="9" fillId="2" borderId="0" xfId="0" applyFont="1" applyFill="1" applyAlignment="1">
      <alignment horizontal="left" vertical="top" wrapText="1" indent="2"/>
    </xf>
    <xf numFmtId="177" fontId="9" fillId="2" borderId="0" xfId="2" applyNumberFormat="1" applyFont="1" applyFill="1" applyAlignment="1">
      <alignment horizontal="left" vertical="top" wrapText="1"/>
    </xf>
    <xf numFmtId="10" fontId="9" fillId="2" borderId="0" xfId="1" applyNumberFormat="1" applyFont="1" applyFill="1" applyBorder="1" applyAlignment="1">
      <alignment horizontal="left" vertical="top" wrapText="1"/>
    </xf>
    <xf numFmtId="0" fontId="9" fillId="0" borderId="10" xfId="0" applyFont="1" applyBorder="1" applyAlignment="1">
      <alignment horizontal="left" vertical="top" wrapText="1"/>
    </xf>
    <xf numFmtId="10" fontId="9" fillId="2" borderId="0" xfId="2" applyNumberFormat="1" applyFont="1" applyFill="1" applyBorder="1" applyAlignment="1">
      <alignment horizontal="left" vertical="top" wrapText="1"/>
    </xf>
    <xf numFmtId="0" fontId="9" fillId="2" borderId="0" xfId="0" applyFont="1" applyFill="1" applyAlignment="1">
      <alignment horizontal="left" vertical="top" indent="2"/>
    </xf>
    <xf numFmtId="177" fontId="9" fillId="2" borderId="1" xfId="2" applyNumberFormat="1" applyFont="1" applyFill="1" applyBorder="1" applyAlignment="1">
      <alignment horizontal="left" vertical="top" wrapText="1"/>
    </xf>
    <xf numFmtId="178" fontId="9" fillId="2" borderId="1" xfId="0" applyNumberFormat="1" applyFont="1" applyFill="1" applyBorder="1" applyAlignment="1">
      <alignment horizontal="left" vertical="top" wrapText="1"/>
    </xf>
    <xf numFmtId="171" fontId="9" fillId="0" borderId="0" xfId="0" applyNumberFormat="1" applyFont="1" applyAlignment="1">
      <alignment horizontal="left" vertical="top" wrapText="1"/>
    </xf>
    <xf numFmtId="9" fontId="9" fillId="2" borderId="0" xfId="2" applyFont="1" applyFill="1" applyBorder="1" applyAlignment="1">
      <alignment horizontal="left" vertical="top" wrapText="1"/>
    </xf>
    <xf numFmtId="37" fontId="9" fillId="2" borderId="0" xfId="0" applyNumberFormat="1" applyFont="1" applyFill="1" applyAlignment="1">
      <alignment horizontal="left" vertical="top" wrapText="1"/>
    </xf>
    <xf numFmtId="177" fontId="3" fillId="2" borderId="0" xfId="2" applyNumberFormat="1" applyFont="1" applyFill="1" applyAlignment="1">
      <alignment horizontal="left" vertical="top" wrapText="1"/>
    </xf>
    <xf numFmtId="178" fontId="3" fillId="2" borderId="0" xfId="0" applyNumberFormat="1" applyFont="1" applyFill="1" applyAlignment="1">
      <alignment horizontal="left" vertical="top" wrapText="1"/>
    </xf>
    <xf numFmtId="3" fontId="9" fillId="2" borderId="0" xfId="0" applyNumberFormat="1" applyFont="1" applyFill="1" applyAlignment="1">
      <alignment horizontal="left" vertical="top" wrapText="1"/>
    </xf>
    <xf numFmtId="9" fontId="9" fillId="2" borderId="0" xfId="1" applyNumberFormat="1" applyFont="1" applyFill="1" applyBorder="1" applyAlignment="1">
      <alignment horizontal="left" vertical="top" wrapText="1"/>
    </xf>
    <xf numFmtId="0" fontId="9" fillId="2" borderId="1" xfId="0" applyFont="1" applyFill="1" applyBorder="1" applyAlignment="1">
      <alignment horizontal="left" vertical="top" wrapText="1" indent="2"/>
    </xf>
    <xf numFmtId="164" fontId="9" fillId="2" borderId="1" xfId="2" applyNumberFormat="1" applyFont="1" applyFill="1" applyBorder="1" applyAlignment="1">
      <alignment horizontal="left" vertical="top" wrapText="1"/>
    </xf>
    <xf numFmtId="178" fontId="3" fillId="2" borderId="1" xfId="0" applyNumberFormat="1" applyFont="1" applyFill="1" applyBorder="1" applyAlignment="1">
      <alignment horizontal="left" vertical="top" wrapText="1"/>
    </xf>
    <xf numFmtId="164" fontId="9" fillId="2" borderId="17" xfId="2" applyNumberFormat="1" applyFont="1" applyFill="1" applyBorder="1" applyAlignment="1">
      <alignment horizontal="left" vertical="top" wrapText="1"/>
    </xf>
    <xf numFmtId="0" fontId="5" fillId="2" borderId="3" xfId="0" applyFont="1" applyFill="1" applyBorder="1" applyAlignment="1">
      <alignment horizontal="left" vertical="top" wrapText="1"/>
    </xf>
    <xf numFmtId="177" fontId="5" fillId="2" borderId="3" xfId="2" applyNumberFormat="1" applyFont="1" applyFill="1" applyBorder="1" applyAlignment="1">
      <alignment horizontal="left" vertical="top" wrapText="1"/>
    </xf>
    <xf numFmtId="178" fontId="5" fillId="2" borderId="3" xfId="0" applyNumberFormat="1" applyFont="1" applyFill="1" applyBorder="1" applyAlignment="1">
      <alignment horizontal="left" vertical="top" wrapText="1"/>
    </xf>
    <xf numFmtId="2" fontId="5" fillId="6" borderId="3" xfId="2" applyNumberFormat="1" applyFont="1" applyFill="1" applyBorder="1" applyAlignment="1">
      <alignment horizontal="left" vertical="top" wrapText="1"/>
    </xf>
    <xf numFmtId="164" fontId="5" fillId="2" borderId="0" xfId="2" applyNumberFormat="1" applyFont="1" applyFill="1" applyBorder="1" applyAlignment="1">
      <alignment horizontal="left" vertical="top" wrapText="1"/>
    </xf>
    <xf numFmtId="3" fontId="5" fillId="6" borderId="0" xfId="3" applyNumberFormat="1" applyFont="1" applyFill="1" applyBorder="1" applyAlignment="1">
      <alignment horizontal="left" vertical="top" wrapText="1"/>
    </xf>
    <xf numFmtId="2" fontId="5" fillId="0" borderId="0" xfId="2" applyNumberFormat="1" applyFont="1" applyFill="1" applyBorder="1" applyAlignment="1">
      <alignment horizontal="left" vertical="top" wrapText="1"/>
    </xf>
    <xf numFmtId="179" fontId="4" fillId="13" borderId="0" xfId="0" applyNumberFormat="1" applyFont="1" applyFill="1" applyAlignment="1">
      <alignment horizontal="left" vertical="top" wrapText="1"/>
    </xf>
    <xf numFmtId="177" fontId="4" fillId="2" borderId="0" xfId="2" applyNumberFormat="1" applyFont="1" applyFill="1" applyAlignment="1">
      <alignment horizontal="left" vertical="top" wrapText="1"/>
    </xf>
    <xf numFmtId="177" fontId="4" fillId="13" borderId="0" xfId="2" applyNumberFormat="1" applyFont="1" applyFill="1" applyAlignment="1">
      <alignment horizontal="left" vertical="top" wrapText="1"/>
    </xf>
    <xf numFmtId="166" fontId="10" fillId="5" borderId="15" xfId="0" applyNumberFormat="1" applyFont="1" applyFill="1" applyBorder="1" applyAlignment="1">
      <alignment horizontal="left" vertical="top" wrapText="1"/>
    </xf>
    <xf numFmtId="164" fontId="4" fillId="2" borderId="0" xfId="2" applyNumberFormat="1" applyFont="1" applyFill="1" applyBorder="1" applyAlignment="1">
      <alignment vertical="top" wrapText="1"/>
    </xf>
    <xf numFmtId="0" fontId="4" fillId="0" borderId="0" xfId="0" applyFont="1" applyAlignment="1">
      <alignment vertical="top" wrapText="1"/>
    </xf>
    <xf numFmtId="3" fontId="9" fillId="0" borderId="0" xfId="0" applyNumberFormat="1" applyFont="1" applyAlignment="1">
      <alignment horizontal="left" vertical="top" wrapText="1"/>
    </xf>
    <xf numFmtId="0" fontId="4" fillId="0" borderId="3" xfId="0" applyFont="1" applyBorder="1" applyAlignment="1">
      <alignment horizontal="left" vertical="top" wrapText="1"/>
    </xf>
    <xf numFmtId="164" fontId="5" fillId="0" borderId="3" xfId="0" applyNumberFormat="1" applyFont="1" applyBorder="1" applyAlignment="1">
      <alignment horizontal="left" vertical="top" wrapText="1"/>
    </xf>
    <xf numFmtId="0" fontId="3" fillId="0" borderId="0" xfId="0" applyFont="1" applyAlignment="1">
      <alignment horizontal="left" vertical="top" wrapText="1"/>
    </xf>
    <xf numFmtId="164" fontId="3" fillId="0" borderId="0" xfId="0" applyNumberFormat="1" applyFont="1" applyAlignment="1">
      <alignment horizontal="left" vertical="top" wrapText="1"/>
    </xf>
    <xf numFmtId="2" fontId="10" fillId="7" borderId="5" xfId="0" applyNumberFormat="1" applyFont="1" applyFill="1" applyBorder="1" applyAlignment="1">
      <alignment horizontal="left" vertical="top" wrapText="1"/>
    </xf>
    <xf numFmtId="178" fontId="4" fillId="13" borderId="18" xfId="0" applyNumberFormat="1" applyFont="1" applyFill="1" applyBorder="1" applyAlignment="1">
      <alignment horizontal="left" vertical="top" wrapText="1"/>
    </xf>
    <xf numFmtId="177" fontId="4" fillId="13" borderId="18" xfId="2" applyNumberFormat="1" applyFont="1" applyFill="1" applyBorder="1" applyAlignment="1">
      <alignment horizontal="left" vertical="top" wrapText="1"/>
    </xf>
    <xf numFmtId="178" fontId="4" fillId="2" borderId="18" xfId="0" applyNumberFormat="1" applyFont="1" applyFill="1" applyBorder="1" applyAlignment="1">
      <alignment horizontal="left" vertical="top" wrapText="1"/>
    </xf>
    <xf numFmtId="177" fontId="4" fillId="2" borderId="18" xfId="2" applyNumberFormat="1" applyFont="1" applyFill="1" applyBorder="1" applyAlignment="1">
      <alignment horizontal="left" vertical="top" wrapText="1"/>
    </xf>
    <xf numFmtId="178" fontId="9" fillId="2" borderId="18" xfId="0" applyNumberFormat="1" applyFont="1" applyFill="1" applyBorder="1" applyAlignment="1">
      <alignment horizontal="left" vertical="top" wrapText="1"/>
    </xf>
    <xf numFmtId="0" fontId="9" fillId="2" borderId="3" xfId="0" applyFont="1" applyFill="1" applyBorder="1" applyAlignment="1">
      <alignment horizontal="left" vertical="top" wrapText="1" indent="2"/>
    </xf>
    <xf numFmtId="178" fontId="4" fillId="2" borderId="3" xfId="0" applyNumberFormat="1" applyFont="1" applyFill="1" applyBorder="1" applyAlignment="1">
      <alignment horizontal="left" vertical="top" wrapText="1"/>
    </xf>
    <xf numFmtId="172" fontId="5" fillId="0" borderId="3" xfId="0" applyNumberFormat="1" applyFont="1" applyBorder="1" applyAlignment="1">
      <alignment horizontal="left" vertical="top" wrapText="1"/>
    </xf>
    <xf numFmtId="9" fontId="5" fillId="0" borderId="3" xfId="2" applyFont="1" applyBorder="1" applyAlignment="1">
      <alignment horizontal="left" vertical="top" wrapText="1"/>
    </xf>
    <xf numFmtId="167" fontId="5" fillId="0" borderId="0" xfId="0" applyNumberFormat="1" applyFont="1" applyAlignment="1">
      <alignment horizontal="left" vertical="top" wrapText="1"/>
    </xf>
    <xf numFmtId="10" fontId="5" fillId="0" borderId="0" xfId="0" applyNumberFormat="1" applyFont="1" applyAlignment="1">
      <alignment horizontal="left" vertical="top" wrapText="1"/>
    </xf>
    <xf numFmtId="172" fontId="5" fillId="0" borderId="0" xfId="0" applyNumberFormat="1" applyFont="1" applyAlignment="1">
      <alignment horizontal="left" vertical="top" wrapText="1"/>
    </xf>
    <xf numFmtId="178" fontId="9" fillId="13" borderId="18" xfId="0" applyNumberFormat="1" applyFont="1" applyFill="1" applyBorder="1" applyAlignment="1">
      <alignment horizontal="left" vertical="top" wrapText="1"/>
    </xf>
    <xf numFmtId="178" fontId="9" fillId="0" borderId="18" xfId="0" applyNumberFormat="1" applyFont="1" applyBorder="1" applyAlignment="1">
      <alignment horizontal="left" vertical="top" wrapText="1"/>
    </xf>
    <xf numFmtId="2" fontId="10" fillId="7" borderId="5" xfId="2" applyNumberFormat="1" applyFont="1" applyFill="1" applyBorder="1" applyAlignment="1">
      <alignment horizontal="left" vertical="top" wrapText="1"/>
    </xf>
    <xf numFmtId="2" fontId="4" fillId="2" borderId="3" xfId="0" applyNumberFormat="1" applyFont="1" applyFill="1" applyBorder="1" applyAlignment="1">
      <alignment horizontal="left" vertical="top" wrapText="1"/>
    </xf>
    <xf numFmtId="2" fontId="7" fillId="2" borderId="3" xfId="0" applyNumberFormat="1" applyFont="1" applyFill="1" applyBorder="1" applyAlignment="1">
      <alignment horizontal="left" vertical="top" wrapText="1"/>
    </xf>
    <xf numFmtId="2" fontId="5" fillId="2" borderId="3" xfId="0" applyNumberFormat="1" applyFont="1" applyFill="1" applyBorder="1" applyAlignment="1">
      <alignment horizontal="left" vertical="top" wrapText="1"/>
    </xf>
    <xf numFmtId="10" fontId="5" fillId="2" borderId="3" xfId="2" applyNumberFormat="1" applyFont="1" applyFill="1" applyBorder="1" applyAlignment="1">
      <alignment horizontal="left" vertical="top" wrapText="1"/>
    </xf>
    <xf numFmtId="3" fontId="7" fillId="2" borderId="3" xfId="0" applyNumberFormat="1" applyFont="1" applyFill="1" applyBorder="1" applyAlignment="1">
      <alignment horizontal="left" vertical="top" wrapText="1"/>
    </xf>
    <xf numFmtId="3" fontId="8" fillId="2" borderId="3" xfId="0" applyNumberFormat="1" applyFont="1" applyFill="1" applyBorder="1" applyAlignment="1">
      <alignment horizontal="left" vertical="top" wrapText="1"/>
    </xf>
    <xf numFmtId="178" fontId="5" fillId="0" borderId="3" xfId="0" applyNumberFormat="1" applyFont="1" applyBorder="1" applyAlignment="1">
      <alignment horizontal="left" vertical="top" wrapText="1"/>
    </xf>
    <xf numFmtId="2" fontId="8" fillId="2" borderId="3" xfId="0" applyNumberFormat="1" applyFont="1" applyFill="1" applyBorder="1" applyAlignment="1">
      <alignment horizontal="left" vertical="top" wrapText="1"/>
    </xf>
    <xf numFmtId="3" fontId="5" fillId="2" borderId="3" xfId="0" applyNumberFormat="1" applyFont="1" applyFill="1" applyBorder="1" applyAlignment="1">
      <alignment horizontal="left" vertical="top" wrapText="1"/>
    </xf>
    <xf numFmtId="14" fontId="5" fillId="2" borderId="3" xfId="2" applyNumberFormat="1" applyFont="1" applyFill="1" applyBorder="1" applyAlignment="1">
      <alignment horizontal="left" vertical="top" wrapText="1"/>
    </xf>
    <xf numFmtId="4" fontId="8" fillId="2" borderId="3" xfId="0" applyNumberFormat="1" applyFont="1" applyFill="1" applyBorder="1" applyAlignment="1">
      <alignment horizontal="left" vertical="top" wrapText="1"/>
    </xf>
    <xf numFmtId="0" fontId="4" fillId="2" borderId="3" xfId="0" applyFont="1" applyFill="1" applyBorder="1" applyAlignment="1">
      <alignment horizontal="left" vertical="top" wrapText="1"/>
    </xf>
    <xf numFmtId="2" fontId="10" fillId="9" borderId="5" xfId="0" applyNumberFormat="1" applyFont="1" applyFill="1" applyBorder="1" applyAlignment="1">
      <alignment horizontal="left" vertical="top" wrapText="1"/>
    </xf>
    <xf numFmtId="0" fontId="4" fillId="0" borderId="9" xfId="0" applyFont="1" applyBorder="1" applyAlignment="1">
      <alignment horizontal="center" vertical="center"/>
    </xf>
    <xf numFmtId="0" fontId="4" fillId="0" borderId="0" xfId="0" applyFont="1"/>
    <xf numFmtId="171" fontId="4" fillId="0" borderId="0" xfId="0" applyNumberFormat="1" applyFont="1"/>
    <xf numFmtId="0" fontId="18" fillId="0" borderId="0" xfId="0" applyFont="1"/>
    <xf numFmtId="170" fontId="4" fillId="0" borderId="0" xfId="1" applyNumberFormat="1" applyFont="1" applyBorder="1" applyAlignment="1">
      <alignment horizontal="left"/>
    </xf>
    <xf numFmtId="170" fontId="4" fillId="0" borderId="0" xfId="1" applyNumberFormat="1" applyFont="1" applyBorder="1" applyAlignment="1">
      <alignment horizontal="left" vertical="center"/>
    </xf>
    <xf numFmtId="170" fontId="5" fillId="0" borderId="0" xfId="1" applyNumberFormat="1" applyFont="1" applyBorder="1" applyAlignment="1">
      <alignment horizontal="left"/>
    </xf>
    <xf numFmtId="170" fontId="5" fillId="0" borderId="0" xfId="1" applyNumberFormat="1" applyFont="1" applyBorder="1" applyAlignment="1">
      <alignment horizontal="left" vertical="center"/>
    </xf>
    <xf numFmtId="164" fontId="5" fillId="0" borderId="0" xfId="2" applyNumberFormat="1" applyFont="1" applyBorder="1" applyAlignment="1">
      <alignment horizontal="left" vertical="center"/>
    </xf>
    <xf numFmtId="177" fontId="7" fillId="2" borderId="6" xfId="2" applyNumberFormat="1" applyFont="1" applyFill="1" applyBorder="1" applyAlignment="1" applyProtection="1">
      <alignment horizontal="left" vertical="top"/>
      <protection locked="0"/>
    </xf>
    <xf numFmtId="177" fontId="7" fillId="2" borderId="7" xfId="2" applyNumberFormat="1" applyFont="1" applyFill="1" applyBorder="1" applyAlignment="1" applyProtection="1">
      <alignment horizontal="left" vertical="top"/>
      <protection locked="0"/>
    </xf>
    <xf numFmtId="177" fontId="8" fillId="2" borderId="3" xfId="2" applyNumberFormat="1" applyFont="1" applyFill="1" applyBorder="1" applyAlignment="1" applyProtection="1">
      <alignment horizontal="left" vertical="top"/>
      <protection locked="0"/>
    </xf>
    <xf numFmtId="0" fontId="20" fillId="0" borderId="0" xfId="0" applyFont="1" applyAlignment="1">
      <alignment horizontal="center"/>
    </xf>
    <xf numFmtId="10" fontId="0" fillId="0" borderId="0" xfId="2" applyNumberFormat="1" applyFont="1" applyAlignment="1">
      <alignment horizontal="center"/>
    </xf>
    <xf numFmtId="10" fontId="20" fillId="0" borderId="0" xfId="2" applyNumberFormat="1" applyFont="1" applyAlignment="1">
      <alignment horizontal="center"/>
    </xf>
    <xf numFmtId="2" fontId="20" fillId="0" borderId="0" xfId="0" applyNumberFormat="1" applyFont="1" applyAlignment="1">
      <alignment horizontal="center"/>
    </xf>
    <xf numFmtId="1" fontId="20" fillId="0" borderId="0" xfId="0" applyNumberFormat="1" applyFont="1" applyAlignment="1">
      <alignment horizontal="center"/>
    </xf>
    <xf numFmtId="3" fontId="20" fillId="0" borderId="0" xfId="0" applyNumberFormat="1" applyFont="1" applyAlignment="1">
      <alignment horizontal="center"/>
    </xf>
    <xf numFmtId="43" fontId="0" fillId="0" borderId="0" xfId="1" applyFont="1" applyAlignment="1">
      <alignment horizontal="center"/>
    </xf>
    <xf numFmtId="166" fontId="8" fillId="3" borderId="4" xfId="0" applyNumberFormat="1" applyFont="1" applyFill="1" applyBorder="1" applyAlignment="1">
      <alignment horizontal="center" vertical="top" wrapText="1"/>
    </xf>
    <xf numFmtId="10" fontId="0" fillId="0" borderId="0" xfId="2" applyNumberFormat="1" applyFont="1" applyAlignment="1">
      <alignment horizontal="left"/>
    </xf>
    <xf numFmtId="14" fontId="0" fillId="0" borderId="0" xfId="2" applyNumberFormat="1" applyFont="1" applyAlignment="1">
      <alignment horizontal="left"/>
    </xf>
    <xf numFmtId="169" fontId="0" fillId="0" borderId="0" xfId="2" applyNumberFormat="1" applyFont="1" applyAlignment="1">
      <alignment horizontal="left"/>
    </xf>
    <xf numFmtId="2" fontId="0" fillId="0" borderId="0" xfId="2" applyNumberFormat="1" applyFont="1" applyAlignment="1">
      <alignment horizontal="left"/>
    </xf>
    <xf numFmtId="2" fontId="19" fillId="7" borderId="5" xfId="0" applyNumberFormat="1" applyFont="1" applyFill="1" applyBorder="1" applyAlignment="1">
      <alignment horizontal="left" vertical="top" wrapText="1"/>
    </xf>
    <xf numFmtId="0" fontId="0" fillId="0" borderId="0" xfId="0" applyAlignment="1">
      <alignment horizontal="center"/>
    </xf>
    <xf numFmtId="0" fontId="0" fillId="0" borderId="0" xfId="0" applyAlignment="1">
      <alignment horizontal="left"/>
    </xf>
    <xf numFmtId="3" fontId="0" fillId="0" borderId="0" xfId="0" applyNumberFormat="1" applyAlignment="1">
      <alignment horizontal="center"/>
    </xf>
    <xf numFmtId="14" fontId="0" fillId="0" borderId="0" xfId="0" applyNumberFormat="1" applyAlignment="1">
      <alignment horizontal="center"/>
    </xf>
    <xf numFmtId="10" fontId="0" fillId="0" borderId="0" xfId="2" applyNumberFormat="1" applyFont="1" applyFill="1" applyAlignment="1">
      <alignment horizontal="left"/>
    </xf>
    <xf numFmtId="14" fontId="0" fillId="0" borderId="0" xfId="2" applyNumberFormat="1" applyFont="1" applyFill="1" applyAlignment="1">
      <alignment horizontal="left"/>
    </xf>
    <xf numFmtId="169" fontId="0" fillId="0" borderId="0" xfId="2" applyNumberFormat="1" applyFont="1" applyFill="1" applyAlignment="1">
      <alignment horizontal="left"/>
    </xf>
    <xf numFmtId="2" fontId="0" fillId="0" borderId="0" xfId="2" applyNumberFormat="1" applyFont="1" applyFill="1" applyAlignment="1">
      <alignment horizontal="left"/>
    </xf>
    <xf numFmtId="0" fontId="0" fillId="0" borderId="3" xfId="0" applyBorder="1" applyAlignment="1">
      <alignment horizontal="center"/>
    </xf>
    <xf numFmtId="10" fontId="20" fillId="0" borderId="3" xfId="2" applyNumberFormat="1" applyFont="1" applyBorder="1" applyAlignment="1">
      <alignment horizontal="center"/>
    </xf>
    <xf numFmtId="2" fontId="20" fillId="0" borderId="3" xfId="0" applyNumberFormat="1" applyFont="1" applyBorder="1" applyAlignment="1">
      <alignment horizontal="center"/>
    </xf>
    <xf numFmtId="1" fontId="20" fillId="0" borderId="3" xfId="0" applyNumberFormat="1" applyFont="1" applyBorder="1" applyAlignment="1">
      <alignment horizontal="center"/>
    </xf>
    <xf numFmtId="165" fontId="0" fillId="0" borderId="0" xfId="0" applyNumberFormat="1" applyAlignment="1">
      <alignment horizontal="center"/>
    </xf>
    <xf numFmtId="0" fontId="20" fillId="0" borderId="3" xfId="0" applyFont="1" applyBorder="1" applyAlignment="1">
      <alignment horizontal="center"/>
    </xf>
    <xf numFmtId="0" fontId="0" fillId="0" borderId="3" xfId="0" applyBorder="1"/>
    <xf numFmtId="164" fontId="20" fillId="0" borderId="0" xfId="2" applyNumberFormat="1" applyFont="1" applyBorder="1" applyAlignment="1">
      <alignment horizontal="center"/>
    </xf>
    <xf numFmtId="177" fontId="21" fillId="2" borderId="6" xfId="2" applyNumberFormat="1" applyFont="1" applyFill="1" applyBorder="1" applyAlignment="1" applyProtection="1">
      <alignment horizontal="center" vertical="top"/>
      <protection locked="0"/>
    </xf>
    <xf numFmtId="1" fontId="21" fillId="2" borderId="6" xfId="2" applyNumberFormat="1" applyFont="1" applyFill="1" applyBorder="1" applyAlignment="1" applyProtection="1">
      <alignment horizontal="center" vertical="top"/>
      <protection locked="0"/>
    </xf>
    <xf numFmtId="2" fontId="19" fillId="7" borderId="5" xfId="0" applyNumberFormat="1" applyFont="1" applyFill="1" applyBorder="1" applyAlignment="1">
      <alignment horizontal="center" vertical="top" wrapText="1"/>
    </xf>
    <xf numFmtId="179" fontId="4" fillId="0" borderId="0" xfId="0" applyNumberFormat="1" applyFont="1" applyAlignment="1">
      <alignment horizontal="left" vertical="top" wrapText="1"/>
    </xf>
    <xf numFmtId="177" fontId="4" fillId="0" borderId="0" xfId="2" applyNumberFormat="1" applyFont="1" applyFill="1" applyAlignment="1">
      <alignment horizontal="left" vertical="top" wrapText="1"/>
    </xf>
    <xf numFmtId="177" fontId="21" fillId="2" borderId="0" xfId="2" applyNumberFormat="1" applyFont="1" applyFill="1" applyBorder="1" applyAlignment="1" applyProtection="1">
      <alignment horizontal="center" vertical="top"/>
      <protection locked="0"/>
    </xf>
    <xf numFmtId="164" fontId="9" fillId="0" borderId="0" xfId="2" applyNumberFormat="1" applyFont="1" applyAlignment="1">
      <alignment horizontal="left" vertical="top" wrapText="1"/>
    </xf>
    <xf numFmtId="178" fontId="9" fillId="0" borderId="0" xfId="0" applyNumberFormat="1" applyFont="1" applyAlignment="1">
      <alignment horizontal="left" vertical="top" wrapText="1"/>
    </xf>
    <xf numFmtId="164" fontId="7" fillId="2" borderId="3" xfId="2" applyNumberFormat="1" applyFont="1" applyFill="1" applyBorder="1" applyAlignment="1" applyProtection="1">
      <alignment horizontal="left" vertical="top"/>
      <protection locked="0"/>
    </xf>
    <xf numFmtId="177" fontId="7" fillId="2" borderId="6" xfId="2" applyNumberFormat="1" applyFont="1" applyFill="1" applyBorder="1" applyAlignment="1" applyProtection="1">
      <alignment horizontal="center" vertical="top"/>
      <protection locked="0"/>
    </xf>
    <xf numFmtId="2" fontId="19" fillId="7" borderId="0" xfId="0" applyNumberFormat="1" applyFont="1" applyFill="1" applyAlignment="1">
      <alignment horizontal="left" vertical="top" wrapText="1"/>
    </xf>
    <xf numFmtId="2" fontId="0" fillId="0" borderId="0" xfId="0" applyNumberFormat="1" applyAlignment="1">
      <alignment horizontal="left"/>
    </xf>
    <xf numFmtId="1" fontId="21" fillId="2" borderId="6" xfId="2" quotePrefix="1" applyNumberFormat="1" applyFont="1" applyFill="1" applyBorder="1" applyAlignment="1" applyProtection="1">
      <alignment horizontal="center" vertical="top"/>
      <protection locked="0"/>
    </xf>
    <xf numFmtId="0" fontId="7" fillId="0" borderId="6" xfId="0" applyFont="1" applyBorder="1" applyAlignment="1" applyProtection="1">
      <alignment horizontal="left" vertical="top" wrapText="1"/>
      <protection locked="0"/>
    </xf>
    <xf numFmtId="177" fontId="21" fillId="13" borderId="6" xfId="2" applyNumberFormat="1" applyFont="1" applyFill="1" applyBorder="1" applyAlignment="1" applyProtection="1">
      <alignment horizontal="center" vertical="top"/>
      <protection locked="0"/>
    </xf>
    <xf numFmtId="10" fontId="20" fillId="4" borderId="3" xfId="2" applyNumberFormat="1" applyFont="1" applyFill="1" applyBorder="1" applyAlignment="1">
      <alignment horizontal="center"/>
    </xf>
    <xf numFmtId="164" fontId="20" fillId="4" borderId="3" xfId="2" applyNumberFormat="1" applyFont="1" applyFill="1" applyBorder="1" applyAlignment="1">
      <alignment horizontal="center"/>
    </xf>
    <xf numFmtId="0" fontId="0" fillId="17" borderId="0" xfId="0" applyFill="1" applyAlignment="1">
      <alignment horizontal="left"/>
    </xf>
    <xf numFmtId="0" fontId="7" fillId="13" borderId="0" xfId="0" applyFont="1" applyFill="1" applyAlignment="1" applyProtection="1">
      <alignment horizontal="left" vertical="top" wrapText="1"/>
      <protection locked="0"/>
    </xf>
    <xf numFmtId="0" fontId="4" fillId="0" borderId="20" xfId="0" applyFont="1" applyBorder="1" applyAlignment="1">
      <alignment horizontal="left" vertical="top" wrapText="1"/>
    </xf>
    <xf numFmtId="180" fontId="8" fillId="0" borderId="11" xfId="1" quotePrefix="1" applyNumberFormat="1" applyFont="1" applyFill="1" applyBorder="1" applyAlignment="1" applyProtection="1">
      <alignment horizontal="left" vertical="top"/>
      <protection locked="0"/>
    </xf>
    <xf numFmtId="164" fontId="3" fillId="0" borderId="0" xfId="2" applyNumberFormat="1" applyFont="1" applyAlignment="1">
      <alignment horizontal="center" vertical="top" wrapText="1"/>
    </xf>
    <xf numFmtId="0" fontId="0" fillId="0" borderId="10" xfId="0" applyBorder="1"/>
    <xf numFmtId="164" fontId="3" fillId="0" borderId="0" xfId="2" applyNumberFormat="1" applyFont="1" applyAlignment="1">
      <alignment vertical="top" wrapText="1"/>
    </xf>
    <xf numFmtId="180" fontId="8" fillId="0" borderId="22" xfId="1" quotePrefix="1" applyNumberFormat="1" applyFont="1" applyFill="1" applyBorder="1" applyAlignment="1" applyProtection="1">
      <alignment horizontal="left" vertical="top"/>
      <protection locked="0"/>
    </xf>
    <xf numFmtId="3" fontId="7" fillId="13" borderId="23" xfId="0" applyNumberFormat="1" applyFont="1" applyFill="1" applyBorder="1" applyAlignment="1" applyProtection="1">
      <alignment horizontal="left" vertical="top"/>
      <protection locked="0"/>
    </xf>
    <xf numFmtId="3" fontId="7" fillId="13" borderId="24" xfId="0" applyNumberFormat="1" applyFont="1" applyFill="1" applyBorder="1" applyAlignment="1" applyProtection="1">
      <alignment horizontal="left" vertical="top"/>
      <protection locked="0"/>
    </xf>
    <xf numFmtId="180" fontId="8" fillId="0" borderId="25" xfId="1" quotePrefix="1" applyNumberFormat="1" applyFont="1" applyFill="1" applyBorder="1" applyAlignment="1" applyProtection="1">
      <alignment horizontal="left" vertical="top"/>
      <protection locked="0"/>
    </xf>
    <xf numFmtId="3" fontId="7" fillId="13" borderId="26" xfId="0" applyNumberFormat="1" applyFont="1" applyFill="1" applyBorder="1" applyAlignment="1" applyProtection="1">
      <alignment horizontal="left" vertical="top"/>
      <protection locked="0"/>
    </xf>
    <xf numFmtId="3" fontId="7" fillId="13" borderId="9" xfId="0" applyNumberFormat="1" applyFont="1" applyFill="1" applyBorder="1" applyAlignment="1" applyProtection="1">
      <alignment horizontal="left" vertical="top"/>
      <protection locked="0"/>
    </xf>
    <xf numFmtId="178" fontId="3" fillId="0" borderId="0" xfId="0" applyNumberFormat="1" applyFont="1" applyAlignment="1">
      <alignment horizontal="left" vertical="top" wrapText="1"/>
    </xf>
    <xf numFmtId="164" fontId="7" fillId="13" borderId="23" xfId="2" applyNumberFormat="1" applyFont="1" applyFill="1" applyBorder="1" applyAlignment="1" applyProtection="1">
      <alignment horizontal="left" vertical="top"/>
      <protection locked="0"/>
    </xf>
    <xf numFmtId="164" fontId="7" fillId="13" borderId="24" xfId="2" applyNumberFormat="1" applyFont="1" applyFill="1" applyBorder="1" applyAlignment="1" applyProtection="1">
      <alignment horizontal="left" vertical="top"/>
      <protection locked="0"/>
    </xf>
    <xf numFmtId="164" fontId="7" fillId="13" borderId="26" xfId="2" applyNumberFormat="1" applyFont="1" applyFill="1" applyBorder="1" applyAlignment="1" applyProtection="1">
      <alignment horizontal="left" vertical="top"/>
      <protection locked="0"/>
    </xf>
    <xf numFmtId="164" fontId="3" fillId="18" borderId="0" xfId="2" applyNumberFormat="1" applyFont="1" applyFill="1" applyAlignment="1">
      <alignment horizontal="center" vertical="top" wrapText="1"/>
    </xf>
    <xf numFmtId="0" fontId="5" fillId="0" borderId="27" xfId="0" applyFont="1" applyBorder="1" applyAlignment="1">
      <alignment horizontal="left" vertical="top"/>
    </xf>
    <xf numFmtId="181" fontId="5" fillId="0" borderId="28" xfId="0" applyNumberFormat="1" applyFont="1" applyBorder="1" applyAlignment="1">
      <alignment horizontal="right" vertical="top"/>
    </xf>
    <xf numFmtId="181" fontId="5" fillId="0" borderId="29" xfId="0" applyNumberFormat="1" applyFont="1" applyBorder="1" applyAlignment="1">
      <alignment horizontal="right" vertical="top"/>
    </xf>
    <xf numFmtId="0" fontId="6" fillId="8" borderId="0" xfId="0" applyFont="1" applyFill="1" applyAlignment="1">
      <alignment horizontal="left" vertical="top" wrapText="1"/>
    </xf>
    <xf numFmtId="0" fontId="5" fillId="14" borderId="0" xfId="0" applyFont="1" applyFill="1" applyAlignment="1">
      <alignment horizontal="left" vertical="center" wrapText="1"/>
    </xf>
    <xf numFmtId="0" fontId="5" fillId="14" borderId="12" xfId="0" applyFont="1" applyFill="1" applyBorder="1" applyAlignment="1">
      <alignment horizontal="left" vertical="center" wrapText="1"/>
    </xf>
    <xf numFmtId="164" fontId="5" fillId="2" borderId="2" xfId="2" applyNumberFormat="1" applyFont="1" applyFill="1" applyBorder="1" applyAlignment="1">
      <alignment horizontal="center" vertical="center" wrapText="1"/>
    </xf>
    <xf numFmtId="164" fontId="5" fillId="2" borderId="0" xfId="2" applyNumberFormat="1" applyFont="1" applyFill="1" applyBorder="1" applyAlignment="1">
      <alignment horizontal="center" vertical="center" wrapText="1"/>
    </xf>
    <xf numFmtId="166" fontId="8" fillId="3" borderId="0" xfId="0" applyNumberFormat="1" applyFont="1" applyFill="1" applyAlignment="1">
      <alignment horizontal="left" vertical="top" wrapText="1"/>
    </xf>
    <xf numFmtId="0" fontId="9" fillId="0" borderId="0" xfId="0" applyFont="1" applyAlignment="1">
      <alignment horizontal="left" vertical="top" wrapText="1"/>
    </xf>
    <xf numFmtId="0" fontId="5" fillId="15" borderId="0" xfId="0" applyFont="1" applyFill="1" applyAlignment="1">
      <alignment horizontal="left"/>
    </xf>
    <xf numFmtId="0" fontId="4" fillId="2" borderId="0" xfId="0" applyFont="1" applyFill="1" applyAlignment="1">
      <alignment horizontal="left" vertical="top" wrapText="1"/>
    </xf>
    <xf numFmtId="166" fontId="10" fillId="5" borderId="0" xfId="0" applyNumberFormat="1" applyFont="1" applyFill="1" applyAlignment="1">
      <alignment horizontal="left" vertical="top" wrapText="1"/>
    </xf>
    <xf numFmtId="166" fontId="8" fillId="3" borderId="0" xfId="0" applyNumberFormat="1" applyFont="1" applyFill="1" applyAlignment="1">
      <alignment horizontal="center" vertical="top" wrapText="1"/>
    </xf>
    <xf numFmtId="166" fontId="8" fillId="3" borderId="21" xfId="0" applyNumberFormat="1" applyFont="1" applyFill="1" applyBorder="1" applyAlignment="1">
      <alignment horizontal="center" vertical="top" wrapText="1"/>
    </xf>
    <xf numFmtId="166" fontId="8" fillId="3" borderId="4" xfId="0" applyNumberFormat="1" applyFont="1" applyFill="1" applyBorder="1" applyAlignment="1">
      <alignment horizontal="center" vertical="top" wrapText="1"/>
    </xf>
    <xf numFmtId="164" fontId="5" fillId="2" borderId="1" xfId="2" applyNumberFormat="1" applyFont="1" applyFill="1" applyBorder="1" applyAlignment="1">
      <alignment horizontal="center" vertical="center" wrapText="1"/>
    </xf>
    <xf numFmtId="2" fontId="5" fillId="2" borderId="0" xfId="0" applyNumberFormat="1" applyFont="1" applyFill="1" applyAlignment="1">
      <alignment horizontal="left" vertical="top" wrapText="1"/>
    </xf>
    <xf numFmtId="0" fontId="9" fillId="0" borderId="0" xfId="0" applyFont="1" applyAlignment="1">
      <alignment horizontal="center" vertical="top" wrapText="1"/>
    </xf>
    <xf numFmtId="0" fontId="4" fillId="13" borderId="0" xfId="0" applyFont="1" applyFill="1" applyAlignment="1">
      <alignment horizontal="left" vertical="top" wrapText="1"/>
    </xf>
    <xf numFmtId="2" fontId="19" fillId="7" borderId="5" xfId="0" applyNumberFormat="1" applyFont="1" applyFill="1" applyBorder="1" applyAlignment="1">
      <alignment horizontal="left" vertical="top" wrapText="1"/>
    </xf>
    <xf numFmtId="2" fontId="19" fillId="7" borderId="19" xfId="0" applyNumberFormat="1" applyFont="1" applyFill="1" applyBorder="1" applyAlignment="1">
      <alignment horizontal="left" vertical="top" wrapText="1"/>
    </xf>
    <xf numFmtId="0" fontId="20" fillId="16" borderId="0" xfId="0" applyFont="1" applyFill="1" applyAlignment="1">
      <alignment horizontal="left"/>
    </xf>
  </cellXfs>
  <cellStyles count="7">
    <cellStyle name="Comma" xfId="1" builtinId="3"/>
    <cellStyle name="Comma 2" xfId="3" xr:uid="{D666D677-E441-4EDF-9017-A39C404D6066}"/>
    <cellStyle name="Comma 3" xfId="6" xr:uid="{B435ABD2-9A1F-4DB9-9F64-9B21488387BB}"/>
    <cellStyle name="Normal" xfId="0" builtinId="0"/>
    <cellStyle name="Normal 2" xfId="4" xr:uid="{DA1C3D71-27B6-44CB-97D3-18D05DA3DFF3}"/>
    <cellStyle name="Per cent" xfId="2" builtinId="5"/>
    <cellStyle name="Per cent 2" xfId="5" xr:uid="{A2733DE1-252A-48B7-9D6B-7B9A1F54D06C}"/>
  </cellStyles>
  <dxfs count="10">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e">
        <v>#N/A</v>
        <stp/>
        <stp>BDP|15154383211688473557</stp>
        <tr r="E167" s="29"/>
        <tr r="E167" s="29"/>
        <tr r="E167" s="29"/>
      </tp>
      <tp t="e">
        <v>#N/A</v>
        <stp/>
        <stp>BDP|17895838264003346052</stp>
        <tr r="AC169" s="29"/>
        <tr r="AC169" s="29"/>
        <tr r="AC169" s="29"/>
      </tp>
      <tp t="e">
        <v>#N/A</v>
        <stp/>
        <stp>BDP|15112087863140390924</stp>
        <tr r="T149" s="29"/>
      </tp>
      <tp t="e">
        <v>#N/A</v>
        <stp/>
        <stp>BDP|13750937438563408054</stp>
        <tr r="M155" s="29"/>
      </tp>
      <tp t="e">
        <v>#N/A</v>
        <stp/>
        <stp>BDP|14364784233253550901</stp>
        <tr r="AH169" s="29"/>
        <tr r="AH169" s="29"/>
        <tr r="AH169" s="29"/>
      </tp>
      <tp t="e">
        <v>#N/A</v>
        <stp/>
        <stp>BDP|11522841933132556281</stp>
        <tr r="AH164" s="29"/>
        <tr r="AH164" s="29"/>
        <tr r="AH164" s="29"/>
      </tp>
      <tp t="e">
        <v>#N/A</v>
        <stp/>
        <stp>BDP|11301493104418599756</stp>
        <tr r="AA163" s="29"/>
        <tr r="AA163" s="29"/>
        <tr r="AA163" s="29"/>
      </tp>
      <tp t="e">
        <v>#N/A</v>
        <stp/>
        <stp>BDP|13164474740951112897</stp>
        <tr r="E136" s="29"/>
        <tr r="P138" s="29"/>
        <tr r="I136" s="29"/>
        <tr r="N138" s="29"/>
      </tp>
      <tp t="e">
        <v>#N/A</v>
        <stp/>
        <stp>BDP|15404887340163695096</stp>
        <tr r="I155" s="29"/>
        <tr r="I155" s="29"/>
      </tp>
      <tp t="e">
        <v>#N/A</v>
        <stp/>
        <stp>BDP|13899463383105964073</stp>
        <tr r="M147" s="29"/>
      </tp>
      <tp t="e">
        <v>#N/A</v>
        <stp/>
        <stp>BDP|10050859678805907074</stp>
        <tr r="AF169" s="29"/>
        <tr r="AF169" s="29"/>
        <tr r="AF169" s="29"/>
      </tp>
      <tp t="e">
        <v>#N/A</v>
        <stp/>
        <stp>BDP|14452903732206489267</stp>
        <tr r="Z187" s="29"/>
        <tr r="Z187" s="29"/>
        <tr r="Z187" s="29"/>
      </tp>
      <tp t="e">
        <v>#N/A</v>
        <stp/>
        <stp>BDP|11269492475290820827</stp>
        <tr r="B165" s="29"/>
      </tp>
      <tp t="e">
        <v>#N/A</v>
        <stp/>
        <stp>BDP|10716646582175377163</stp>
        <tr r="Z157" s="29"/>
        <tr r="Z157" s="29"/>
        <tr r="Z157" s="29"/>
      </tp>
      <tp t="e">
        <v>#N/A</v>
        <stp/>
        <stp>BDP|12528308360639250438</stp>
        <tr r="M169" s="29"/>
      </tp>
      <tp t="e">
        <v>#N/A</v>
        <stp/>
        <stp>BDP|18024778945312765319</stp>
        <tr r="AM155" s="29"/>
      </tp>
      <tp t="e">
        <v>#N/A</v>
        <stp/>
        <stp>BDP|13160130814778631097</stp>
        <tr r="AM168" s="29"/>
        <tr r="AM168" s="29"/>
        <tr r="AM168" s="29"/>
      </tp>
      <tp t="e">
        <v>#N/A</v>
        <stp/>
        <stp>BDP|14518685666559655604</stp>
        <tr r="F169" s="29"/>
        <tr r="F169" s="29"/>
        <tr r="F169" s="29"/>
      </tp>
      <tp t="e">
        <v>#N/A</v>
        <stp/>
        <stp>BDP|15940153537468426432</stp>
        <tr r="X166" s="29"/>
        <tr r="X166" s="29"/>
        <tr r="X166" s="29"/>
      </tp>
      <tp t="e">
        <v>#N/A</v>
        <stp/>
        <stp>BDP|10247581218049914653</stp>
        <tr r="B148" s="29"/>
      </tp>
      <tp t="e">
        <v>#N/A</v>
        <stp/>
        <stp>BDP|15596073615979287645</stp>
        <tr r="AH167" s="29"/>
        <tr r="AH167" s="29"/>
        <tr r="AH167" s="29"/>
      </tp>
      <tp t="e">
        <v>#N/A</v>
        <stp/>
        <stp>BDP|17109870200805616129</stp>
        <tr r="AK163" s="29"/>
        <tr r="AK163" s="29"/>
        <tr r="AK163" s="29"/>
      </tp>
      <tp t="e">
        <v>#N/A</v>
        <stp/>
        <stp>BDP|18105400323130263550</stp>
        <tr r="M155" s="29"/>
      </tp>
      <tp t="e">
        <v>#N/A</v>
        <stp/>
        <stp>BDP|15966938467343878212</stp>
        <tr r="B166" s="29"/>
      </tp>
      <tp t="e">
        <v>#N/A</v>
        <stp/>
        <stp>BDP|17722606153996695965</stp>
        <tr r="AW156" s="29"/>
      </tp>
      <tp t="e">
        <v>#N/A</v>
        <stp/>
        <stp>BDP|17077350794501646705</stp>
        <tr r="I156" s="29"/>
        <tr r="I156" s="29"/>
        <tr r="I156" s="29"/>
      </tp>
      <tp t="e">
        <v>#N/A</v>
        <stp/>
        <stp>BDP|10190505493482319578</stp>
        <tr r="Z149" s="29"/>
        <tr r="Z149" s="29"/>
      </tp>
      <tp t="e">
        <v>#N/A</v>
        <stp/>
        <stp>BDP|11024495087116607322</stp>
        <tr r="AD165" s="29"/>
        <tr r="AD165" s="29"/>
        <tr r="AD165" s="29"/>
      </tp>
      <tp t="e">
        <v>#N/A</v>
        <stp/>
        <stp>BDP|17631808605131886669</stp>
        <tr r="E149" s="29"/>
      </tp>
      <tp t="e">
        <v>#N/A</v>
        <stp/>
        <stp>BDP|10273051920248378282</stp>
        <tr r="W168" s="29"/>
        <tr r="W168" s="29"/>
        <tr r="W168" s="29"/>
      </tp>
      <tp t="e">
        <v>#N/A</v>
        <stp/>
        <stp>BDP|12458692992021517461</stp>
        <tr r="J167" s="29"/>
        <tr r="J167" s="29"/>
        <tr r="J167" s="29"/>
      </tp>
      <tp t="e">
        <v>#N/A</v>
        <stp/>
        <stp>BDP|15085157663032962807</stp>
        <tr r="AF163" s="29"/>
        <tr r="AF163" s="29"/>
        <tr r="AF163" s="29"/>
      </tp>
      <tp t="e">
        <v>#N/A</v>
        <stp/>
        <stp>BDP|17114958646886417482</stp>
        <tr r="AK149" s="29"/>
        <tr r="AK149" s="29"/>
        <tr r="AK149" s="29"/>
      </tp>
      <tp t="e">
        <v>#N/A</v>
        <stp/>
        <stp>BDP|15381218277091449908</stp>
        <tr r="J148" s="29"/>
      </tp>
      <tp t="e">
        <v>#N/A</v>
        <stp/>
        <stp>BDP|18091459356629601846</stp>
        <tr r="AA155" s="29"/>
        <tr r="AA155" s="29"/>
        <tr r="AA155" s="29"/>
      </tp>
      <tp t="e">
        <v>#N/A</v>
        <stp/>
        <stp>BDP|16728571443486136923</stp>
        <tr r="G147" s="29"/>
      </tp>
      <tp t="e">
        <v>#N/A</v>
        <stp/>
        <stp>BDP|14943354353768545297</stp>
        <tr r="I167" s="29"/>
        <tr r="I167" s="29"/>
        <tr r="I167" s="29"/>
      </tp>
      <tp t="e">
        <v>#N/A</v>
        <stp/>
        <stp>BDP|11864497488075601084</stp>
        <tr r="AK148" s="29"/>
        <tr r="AK148" s="29"/>
        <tr r="AK148" s="29"/>
      </tp>
      <tp t="e">
        <v>#N/A</v>
        <stp/>
        <stp>BDP|15357883935161144674</stp>
        <tr r="AW163" s="29"/>
      </tp>
      <tp t="e">
        <v>#N/A</v>
        <stp/>
        <stp>BDP|16829483926639922038</stp>
        <tr r="AI168" s="29"/>
        <tr r="AI168" s="29"/>
        <tr r="AI168" s="29"/>
      </tp>
      <tp t="e">
        <v>#N/A</v>
        <stp/>
        <stp>BDP|16996168560010200814</stp>
        <tr r="D149" s="29"/>
      </tp>
      <tp t="e">
        <v>#N/A</v>
        <stp/>
        <stp>BDP|17358661280308212893</stp>
        <tr r="D149" s="29"/>
        <tr r="D149" s="29"/>
      </tp>
      <tp t="e">
        <v>#N/A</v>
        <stp/>
        <stp>BDP|10494668480823698452</stp>
        <tr r="AJ168" s="29"/>
        <tr r="AJ168" s="29"/>
        <tr r="AJ168" s="29"/>
      </tp>
      <tp t="e">
        <v>#N/A</v>
        <stp/>
        <stp>BDP|12898514772309284083</stp>
        <tr r="G157" s="29"/>
        <tr r="G157" s="29"/>
        <tr r="G157" s="29"/>
      </tp>
      <tp t="e">
        <v>#N/A</v>
        <stp/>
        <stp>BDP|13071006619003864810</stp>
        <tr r="I187" s="29"/>
      </tp>
      <tp t="e">
        <v>#N/A</v>
        <stp/>
        <stp>BDP|10599854023623844087</stp>
        <tr r="AM165" s="29"/>
        <tr r="AM165" s="29"/>
        <tr r="AM165" s="29"/>
      </tp>
      <tp t="s">
        <v>#N/A N/A</v>
        <stp/>
        <stp>BDP|11604357028361966863</stp>
        <tr r="F149" s="29"/>
      </tp>
      <tp t="e">
        <v>#N/A</v>
        <stp/>
        <stp>BDP|14645912335456161171</stp>
        <tr r="D157" s="29"/>
        <tr r="D157" s="29"/>
        <tr r="D157" s="29"/>
        <tr r="AN157" s="29"/>
        <tr r="AN157" s="29"/>
        <tr r="AN157" s="29"/>
      </tp>
      <tp t="e">
        <v>#N/A</v>
        <stp/>
        <stp>BDP|10166002646409519459</stp>
        <tr r="AP155" s="29"/>
        <tr r="AP155" s="29"/>
      </tp>
      <tp t="e">
        <v>#N/A</v>
        <stp/>
        <stp>BDP|13718260774217021838</stp>
        <tr r="T147" s="29"/>
      </tp>
      <tp t="e">
        <v>#N/A</v>
        <stp/>
        <stp>BDP|10112770844392654825</stp>
        <tr r="AM156" s="29"/>
      </tp>
      <tp t="e">
        <v>#N/A</v>
        <stp/>
        <stp>BDP|16192089060447158916</stp>
        <tr r="E165" s="29"/>
        <tr r="E165" s="29"/>
        <tr r="E165" s="29"/>
      </tp>
      <tp t="e">
        <v>#N/A</v>
        <stp/>
        <stp>BDP|17117288476435755947</stp>
        <tr r="D147" s="29"/>
        <tr r="D147" s="29"/>
      </tp>
      <tp t="e">
        <v>#N/A</v>
        <stp/>
        <stp>BDP|10855889379309429831</stp>
        <tr r="AO166" s="29"/>
        <tr r="AO166" s="29"/>
        <tr r="AO166" s="29"/>
      </tp>
      <tp t="e">
        <v>#N/A</v>
        <stp/>
        <stp>BDP|12777966147900188179</stp>
        <tr r="AA169" s="29"/>
        <tr r="AA169" s="29"/>
        <tr r="AA169" s="29"/>
      </tp>
      <tp t="e">
        <v>#N/A</v>
        <stp/>
        <stp>BDP|12129450898835815448</stp>
        <tr r="AO187" s="29"/>
        <tr r="AO187" s="29"/>
        <tr r="AO187" s="29"/>
      </tp>
      <tp t="e">
        <v>#N/A</v>
        <stp/>
        <stp>BDP|10421973520485067036</stp>
        <tr r="D148" s="29"/>
        <tr r="D148" s="29"/>
      </tp>
      <tp t="e">
        <v>#N/A</v>
        <stp/>
        <stp>BDP|12828922364126415594</stp>
        <tr r="AF165" s="29"/>
        <tr r="AF165" s="29"/>
        <tr r="AF165" s="29"/>
      </tp>
      <tp t="e">
        <v>#N/A</v>
        <stp/>
        <stp>BDP|10907829828556410259</stp>
        <tr r="AK164" s="29"/>
        <tr r="AK164" s="29"/>
        <tr r="AK164" s="29"/>
      </tp>
      <tp t="e">
        <v>#N/A</v>
        <stp/>
        <stp>BDP|12753858965906009450</stp>
        <tr r="AN165" s="29"/>
        <tr r="AN165" s="29"/>
        <tr r="AN165" s="29"/>
      </tp>
      <tp t="e">
        <v>#N/A</v>
        <stp/>
        <stp>BDP|12789645614628983381</stp>
        <tr r="AW164" s="29"/>
      </tp>
      <tp t="e">
        <v>#N/A</v>
        <stp/>
        <stp>BDP|18220905136615950844</stp>
        <tr r="AA166" s="29"/>
        <tr r="AA166" s="29"/>
        <tr r="AA166" s="29"/>
      </tp>
      <tp t="e">
        <v>#N/A</v>
        <stp/>
        <stp>BDP|11994464190950084371</stp>
        <tr r="M168" s="29"/>
      </tp>
      <tp t="e">
        <v>#N/A</v>
        <stp/>
        <stp>BDP|17530478786200142482</stp>
        <tr r="AK155" s="29"/>
      </tp>
      <tp t="e">
        <v>#N/A</v>
        <stp/>
        <stp>BDP|15813806066916366216</stp>
        <tr r="AB165" s="29"/>
        <tr r="AB165" s="29"/>
        <tr r="AB165" s="29"/>
      </tp>
      <tp t="e">
        <v>#N/A</v>
        <stp/>
        <stp>BDP|10095556188183743155</stp>
        <tr r="W155" s="29"/>
        <tr r="W155" s="29"/>
      </tp>
      <tp t="e">
        <v>#N/A</v>
        <stp/>
        <stp>BDP|14325704879973336862</stp>
        <tr r="AI165" s="29"/>
        <tr r="AI165" s="29"/>
        <tr r="AI165" s="29"/>
      </tp>
      <tp t="e">
        <v>#N/A</v>
        <stp/>
        <stp>BDP|18019291610185355140</stp>
        <tr r="AB155" s="29"/>
      </tp>
      <tp t="e">
        <v>#N/A</v>
        <stp/>
        <stp>BDP|17469562907915331875</stp>
        <tr r="AC147" s="29"/>
        <tr r="AC147" s="29"/>
      </tp>
      <tp t="e">
        <v>#N/A</v>
        <stp/>
        <stp>BDP|11875827911842923522</stp>
        <tr r="W166" s="29"/>
        <tr r="W166" s="29"/>
        <tr r="W166" s="29"/>
      </tp>
      <tp t="e">
        <v>#N/A</v>
        <stp/>
        <stp>BDP|15427741376783359959</stp>
        <tr r="AP164" s="29"/>
        <tr r="AP164" s="29"/>
        <tr r="AP164" s="29"/>
      </tp>
      <tp t="e">
        <v>#N/A</v>
        <stp/>
        <stp>BDP|11544549462909564458</stp>
        <tr r="AK187" s="29"/>
        <tr r="AK187" s="29"/>
        <tr r="AK187" s="29"/>
      </tp>
      <tp t="e">
        <v>#N/A</v>
        <stp/>
        <stp>BDP|14899422779310545842</stp>
        <tr r="F166" s="29"/>
        <tr r="F166" s="29"/>
        <tr r="F166" s="29"/>
      </tp>
      <tp t="e">
        <v>#N/A</v>
        <stp/>
        <stp>BDP|11344291737228800772</stp>
        <tr r="AL155" s="29"/>
      </tp>
      <tp t="e">
        <v>#N/A</v>
        <stp/>
        <stp>BDP|16569391507103851958</stp>
        <tr r="AF164" s="29"/>
        <tr r="AF164" s="29"/>
        <tr r="AF164" s="29"/>
      </tp>
      <tp t="e">
        <v>#N/A</v>
        <stp/>
        <stp>BDP|17262062424499892015</stp>
        <tr r="AE167" s="29"/>
        <tr r="AE167" s="29"/>
        <tr r="AE167" s="29"/>
      </tp>
      <tp t="e">
        <v>#N/A</v>
        <stp/>
        <stp>BDP|18246315821001299484</stp>
        <tr r="AC163" s="29"/>
        <tr r="AC163" s="29"/>
        <tr r="AC163" s="29"/>
      </tp>
      <tp t="e">
        <v>#N/A</v>
        <stp/>
        <stp>BDP|14584650361901892929</stp>
        <tr r="D163" s="29"/>
        <tr r="D163" s="29"/>
        <tr r="D163" s="29"/>
      </tp>
      <tp t="e">
        <v>#N/A</v>
        <stp/>
        <stp>BDP|13388820298687788928</stp>
        <tr r="Y166" s="29"/>
        <tr r="Y166" s="29"/>
        <tr r="Y166" s="29"/>
      </tp>
      <tp t="e">
        <v>#N/A</v>
        <stp/>
        <stp>BDP|13522971470019999851</stp>
        <tr r="AD155" s="29"/>
      </tp>
      <tp t="e">
        <v>#N/A</v>
        <stp/>
        <stp>BDP|11660302475829492091</stp>
        <tr r="D167" s="29"/>
        <tr r="D167" s="29"/>
        <tr r="D167" s="29"/>
      </tp>
      <tp t="e">
        <v>#N/A</v>
        <stp/>
        <stp>BDP|14510653105147219962</stp>
        <tr r="AC166" s="29"/>
        <tr r="AC166" s="29"/>
        <tr r="AC166" s="29"/>
      </tp>
      <tp t="e">
        <v>#N/A</v>
        <stp/>
        <stp>BDP|14028293763915223980</stp>
        <tr r="AO169" s="29"/>
        <tr r="AO169" s="29"/>
        <tr r="AO169" s="29"/>
      </tp>
      <tp t="e">
        <v>#N/A</v>
        <stp/>
        <stp>BDP|10141679393483339060</stp>
        <tr r="AB168" s="29"/>
        <tr r="AB168" s="29"/>
        <tr r="AB168" s="29"/>
      </tp>
      <tp t="e">
        <v>#N/A</v>
        <stp/>
        <stp>BDP|14702813152073824699</stp>
        <tr r="M163" s="29"/>
      </tp>
      <tp t="e">
        <v>#N/A</v>
        <stp/>
        <stp>BDP|14644054536398489352</stp>
        <tr r="M164" s="29"/>
      </tp>
      <tp t="e">
        <v>#N/A</v>
        <stp/>
        <stp>BDP|15016647343498253315</stp>
        <tr r="AW155" s="29"/>
      </tp>
      <tp t="e">
        <v>#N/A</v>
        <stp/>
        <stp>BDP|14436501180752663763</stp>
        <tr r="F167" s="29"/>
        <tr r="F167" s="29"/>
        <tr r="F167" s="29"/>
      </tp>
      <tp t="e">
        <v>#N/A</v>
        <stp/>
        <stp>BDP|16679237984111059166</stp>
        <tr r="I163" s="29"/>
        <tr r="I163" s="29"/>
        <tr r="I163" s="29"/>
      </tp>
      <tp t="e">
        <v>#N/A</v>
        <stp/>
        <stp>BDP|14671299557608914774</stp>
        <tr r="AG165" s="29"/>
        <tr r="AG165" s="29"/>
        <tr r="AG165" s="29"/>
      </tp>
      <tp t="e">
        <v>#N/A</v>
        <stp/>
        <stp>BDP|17116977756970138686</stp>
        <tr r="B157" s="29"/>
      </tp>
      <tp t="e">
        <v>#N/A</v>
        <stp/>
        <stp>BDP|14930723690923313439</stp>
        <tr r="E157" s="29"/>
      </tp>
      <tp t="e">
        <v>#N/A</v>
        <stp/>
        <stp>BDP|17889229301371814999</stp>
        <tr r="AG166" s="29"/>
        <tr r="AG166" s="29"/>
        <tr r="AG166" s="29"/>
      </tp>
      <tp t="e">
        <v>#N/A</v>
        <stp/>
        <stp>BDP|13928533692834781623</stp>
        <tr r="J147" s="29"/>
      </tp>
      <tp t="e">
        <v>#N/A</v>
        <stp/>
        <stp>BDP|11036880200512355664</stp>
        <tr r="M168" s="29"/>
      </tp>
      <tp t="e">
        <v>#N/A</v>
        <stp/>
        <stp>BDP|17678087331618598166</stp>
        <tr r="X167" s="29"/>
        <tr r="X167" s="29"/>
        <tr r="X167" s="29"/>
      </tp>
      <tp t="e">
        <v>#N/A</v>
        <stp/>
        <stp>BDP|12218694286176692770</stp>
        <tr r="M156" s="29"/>
      </tp>
      <tp t="e">
        <v>#N/A</v>
        <stp/>
        <stp>BDP|16078640483470969517</stp>
        <tr r="AG164" s="29"/>
        <tr r="AG164" s="29"/>
        <tr r="AG164" s="29"/>
      </tp>
      <tp t="e">
        <v>#N/A</v>
        <stp/>
        <stp>BDP|14134540590951582435</stp>
        <tr r="AJ187" s="29"/>
        <tr r="AJ187" s="29"/>
        <tr r="AJ187" s="29"/>
      </tp>
      <tp t="e">
        <v>#N/A</v>
        <stp/>
        <stp>BDP|17513454180433158539</stp>
        <tr r="AC167" s="29"/>
        <tr r="AC167" s="29"/>
        <tr r="AC167" s="29"/>
      </tp>
      <tp t="e">
        <v>#N/A</v>
        <stp/>
        <stp>BDP|15020617180461639754</stp>
        <tr r="J149" s="29"/>
      </tp>
      <tp t="e">
        <v>#N/A</v>
        <stp/>
        <stp>BDP|12437819336045737113</stp>
        <tr r="M157" s="29"/>
      </tp>
      <tp t="e">
        <v>#N/A</v>
        <stp/>
        <stp>BDP|17554605105985527937</stp>
        <tr r="AP165" s="29"/>
        <tr r="AP165" s="29"/>
        <tr r="AP165" s="29"/>
      </tp>
      <tp t="e">
        <v>#N/A</v>
        <stp/>
        <stp>BDP|15570434655310708923</stp>
        <tr r="F165" s="29"/>
        <tr r="F165" s="29"/>
        <tr r="F165" s="29"/>
      </tp>
      <tp t="e">
        <v>#N/A</v>
        <stp/>
        <stp>BDP|13510393315295192608</stp>
        <tr r="AA148" s="29"/>
        <tr r="AA148" s="29"/>
        <tr r="AA148" s="29"/>
      </tp>
      <tp t="e">
        <v>#N/A</v>
        <stp/>
        <stp>BDP|16999265729527002394</stp>
        <tr r="AP163" s="29"/>
        <tr r="AP163" s="29"/>
        <tr r="AP163" s="29"/>
      </tp>
      <tp t="e">
        <v>#N/A</v>
        <stp/>
        <stp>BDP|13578039685378516169</stp>
        <tr r="Z167" s="29"/>
        <tr r="Z167" s="29"/>
        <tr r="Z167" s="29"/>
      </tp>
      <tp t="e">
        <v>#N/A</v>
        <stp/>
        <stp>BDP|16074554277316693062</stp>
        <tr r="AA157" s="29"/>
        <tr r="AA157" s="29"/>
        <tr r="AA157" s="29"/>
      </tp>
      <tp t="e">
        <v>#N/A</v>
        <stp/>
        <stp>BDP|16327013003391636558</stp>
        <tr r="H156" s="29"/>
        <tr r="H156" s="29"/>
        <tr r="H156" s="29"/>
      </tp>
      <tp t="e">
        <v>#N/A</v>
        <stp/>
        <stp>BDP|15430471260594271149</stp>
        <tr r="AJ167" s="29"/>
        <tr r="AJ167" s="29"/>
        <tr r="AJ167" s="29"/>
      </tp>
      <tp t="e">
        <v>#N/A</v>
        <stp/>
        <stp>BDP|17129334857660491346</stp>
        <tr r="AK157" s="29"/>
      </tp>
      <tp t="e">
        <v>#N/A</v>
        <stp/>
        <stp>BDP|11997582824524097016</stp>
        <tr r="D149" s="29"/>
      </tp>
      <tp t="e">
        <v>#N/A</v>
        <stp/>
        <stp>BDP|11547669852088467820</stp>
        <tr r="AE155" s="29"/>
        <tr r="AE155" s="29"/>
        <tr r="AE155" s="29"/>
      </tp>
      <tp t="e">
        <v>#N/A</v>
        <stp/>
        <stp>BDP|17677293309170703765</stp>
        <tr r="M164" s="29"/>
      </tp>
      <tp t="e">
        <v>#N/A</v>
        <stp/>
        <stp>BDP|16975716549511543629</stp>
        <tr r="D166" s="29"/>
        <tr r="D166" s="29"/>
        <tr r="D166" s="29"/>
      </tp>
      <tp t="e">
        <v>#N/A</v>
        <stp/>
        <stp>BDP|14746592102931564302</stp>
        <tr r="I169" s="29"/>
        <tr r="I169" s="29"/>
        <tr r="I169" s="29"/>
      </tp>
      <tp t="e">
        <v>#N/A</v>
        <stp/>
        <stp>BDP|13834605509553877508</stp>
        <tr r="I165" s="29"/>
        <tr r="I165" s="29"/>
        <tr r="I165" s="29"/>
      </tp>
      <tp t="e">
        <v>#N/A</v>
        <stp/>
        <stp>BDP|14850406050445857397</stp>
        <tr r="AK165" s="29"/>
        <tr r="AK165" s="29"/>
        <tr r="AK165" s="29"/>
      </tp>
      <tp t="e">
        <v>#N/A</v>
        <stp/>
        <stp>BDP|17744772668326257316</stp>
        <tr r="F164" s="29"/>
        <tr r="F164" s="29"/>
        <tr r="F164" s="29"/>
      </tp>
      <tp t="e">
        <v>#N/A</v>
        <stp/>
        <stp>BDP|13321798369227052697</stp>
        <tr r="B168" s="29"/>
      </tp>
      <tp t="e">
        <v>#N/A</v>
        <stp/>
        <stp>BDP|17894170309826900354</stp>
        <tr r="F213" s="29"/>
      </tp>
      <tp t="e">
        <v>#N/A</v>
        <stp/>
        <stp>BDP|18047882184838887393</stp>
        <tr r="M165" s="29"/>
      </tp>
      <tp t="e">
        <v>#N/A</v>
        <stp/>
        <stp>BDP|11091532390876678890</stp>
        <tr r="Z164" s="29"/>
        <tr r="Z164" s="29"/>
        <tr r="Z164" s="29"/>
      </tp>
      <tp t="e">
        <v>#N/A</v>
        <stp/>
        <stp>BDP|16785252239124672026</stp>
        <tr r="M164" s="29"/>
      </tp>
      <tp t="e">
        <v>#N/A</v>
        <stp/>
        <stp>BDP|14599212283549706412</stp>
        <tr r="W187" s="29"/>
        <tr r="W187" s="29"/>
        <tr r="W187" s="29"/>
      </tp>
      <tp t="e">
        <v>#N/A</v>
        <stp/>
        <stp>BDP|16901718718523970095</stp>
        <tr r="T148" s="29"/>
      </tp>
      <tp t="e">
        <v>#N/A</v>
        <stp/>
        <stp>BDP|15081140063048312945</stp>
        <tr r="AD168" s="29"/>
        <tr r="AD168" s="29"/>
        <tr r="AD168" s="29"/>
      </tp>
      <tp t="e">
        <v>#N/A</v>
        <stp/>
        <stp>BDP|11070023398709378297</stp>
        <tr r="M155" s="29"/>
      </tp>
      <tp t="e">
        <v>#N/A</v>
        <stp/>
        <stp>BDP|14358521302383436177</stp>
        <tr r="J169" s="29"/>
        <tr r="J169" s="29"/>
        <tr r="J169" s="29"/>
      </tp>
      <tp t="e">
        <v>#N/A</v>
        <stp/>
        <stp>BDP|13733627271042127364</stp>
        <tr r="AD163" s="29"/>
        <tr r="AD163" s="29"/>
        <tr r="AD163" s="29"/>
      </tp>
      <tp t="s">
        <v>#N/A N/A</v>
        <stp/>
        <stp>BDP|13572808096063187211</stp>
        <tr r="F147" s="29"/>
      </tp>
      <tp t="e">
        <v>#N/A</v>
        <stp/>
        <stp>BDP|14016196229771565501</stp>
        <tr r="AI156" s="29"/>
      </tp>
      <tp t="e">
        <v>#N/A</v>
        <stp/>
        <stp>BDP|10034551847205091769</stp>
        <tr r="G168" s="29"/>
      </tp>
      <tp t="e">
        <v>#N/A</v>
        <stp/>
        <stp>BDP|17479670364446870288</stp>
        <tr r="Y165" s="29"/>
        <tr r="Y165" s="29"/>
        <tr r="Y165" s="29"/>
      </tp>
      <tp t="e">
        <v>#N/A</v>
        <stp/>
        <stp>BDP|15712197028393791585</stp>
        <tr r="AI149" s="29"/>
        <tr r="H149" s="29"/>
      </tp>
      <tp t="e">
        <v>#N/A</v>
        <stp/>
        <stp>BDP|11546094178944913258</stp>
        <tr r="B169" s="29"/>
      </tp>
      <tp t="e">
        <v>#N/A</v>
        <stp/>
        <stp>BDP|10519561883384328980</stp>
        <tr r="B155" s="29"/>
      </tp>
      <tp t="e">
        <v>#N/A</v>
        <stp/>
        <stp>BDP|15194693810621377318</stp>
        <tr r="AB187" s="29"/>
        <tr r="AB187" s="29"/>
      </tp>
      <tp t="e">
        <v>#N/A</v>
        <stp/>
        <stp>BDP|17202091602774246351</stp>
        <tr r="G156" s="29"/>
        <tr r="G156" s="29"/>
        <tr r="G156" s="29"/>
      </tp>
      <tp t="e">
        <v>#N/A</v>
        <stp/>
        <stp>BDP|12670610498434977973</stp>
        <tr r="AB169" s="29"/>
        <tr r="AB169" s="29"/>
        <tr r="AB169" s="29"/>
      </tp>
      <tp t="e">
        <v>#N/A</v>
        <stp/>
        <stp>BDP|15104864117519473575</stp>
        <tr r="K175" s="29"/>
        <tr r="K176" s="29"/>
        <tr r="K177" s="29"/>
        <tr r="K178" s="29"/>
        <tr r="N175" s="29"/>
        <tr r="N176" s="29"/>
        <tr r="N177" s="29"/>
        <tr r="N178" s="29"/>
        <tr r="N193" s="29"/>
        <tr r="N194" s="29"/>
        <tr r="N195" s="29"/>
        <tr r="N196" s="29"/>
        <tr r="N197" s="29"/>
        <tr r="N198" s="29"/>
        <tr r="N199" s="29"/>
        <tr r="N200" s="29"/>
        <tr r="N201" s="29"/>
        <tr r="N202" s="29"/>
        <tr r="N203" s="29"/>
        <tr r="N204" s="29"/>
        <tr r="N205" s="29"/>
        <tr r="N206" s="29"/>
        <tr r="N207" s="29"/>
        <tr r="O175" s="29"/>
        <tr r="O176" s="29"/>
        <tr r="O177" s="29"/>
        <tr r="O178" s="29"/>
        <tr r="O193" s="29"/>
        <tr r="O194" s="29"/>
        <tr r="O195" s="29"/>
        <tr r="O196" s="29"/>
        <tr r="O197" s="29"/>
        <tr r="O198" s="29"/>
        <tr r="O199" s="29"/>
        <tr r="O200" s="29"/>
        <tr r="O201" s="29"/>
        <tr r="O202" s="29"/>
        <tr r="O203" s="29"/>
        <tr r="O204" s="29"/>
        <tr r="O205" s="29"/>
        <tr r="O206" s="29"/>
        <tr r="O207" s="29"/>
      </tp>
      <tp t="e">
        <v>#N/A</v>
        <stp/>
        <stp>BDP|14069054637004546335</stp>
        <tr r="AE156" s="29"/>
        <tr r="AE156" s="29"/>
        <tr r="AE156" s="29"/>
      </tp>
      <tp t="e">
        <v>#N/A</v>
        <stp/>
        <stp>BDP|15577173165966379430</stp>
        <tr r="M166" s="29"/>
      </tp>
      <tp t="e">
        <v>#N/A</v>
        <stp/>
        <stp>BDP|18233162907938479106</stp>
        <tr r="AG163" s="29"/>
        <tr r="AG163" s="29"/>
        <tr r="AG163" s="29"/>
      </tp>
      <tp t="e">
        <v>#N/A</v>
        <stp/>
        <stp>BDP|12147595903046780074</stp>
        <tr r="AE149" s="29"/>
      </tp>
      <tp t="e">
        <v>#N/A</v>
        <stp/>
        <stp>BDP|15109762391492544899</stp>
        <tr r="AA165" s="29"/>
        <tr r="AA165" s="29"/>
        <tr r="AA165" s="29"/>
      </tp>
      <tp t="e">
        <v>#N/A</v>
        <stp/>
        <stp>BDP|17406480676846612312</stp>
        <tr r="M167" s="29"/>
      </tp>
      <tp t="e">
        <v>#N/A</v>
        <stp/>
        <stp>BDP|13421362687591921837</stp>
        <tr r="AI166" s="29"/>
        <tr r="AI166" s="29"/>
        <tr r="AI166" s="29"/>
      </tp>
      <tp t="e">
        <v>#N/A</v>
        <stp/>
        <stp>BDP|14922002809895627085</stp>
        <tr r="AF167" s="29"/>
        <tr r="AF167" s="29"/>
        <tr r="AF167" s="29"/>
      </tp>
      <tp t="e">
        <v>#N/A</v>
        <stp/>
        <stp>BDP|12449326661130701619</stp>
        <tr r="Y168" s="29"/>
        <tr r="Y168" s="29"/>
        <tr r="Y168" s="29"/>
      </tp>
      <tp t="e">
        <v>#N/A</v>
        <stp/>
        <stp>BDP|11792662043095327723</stp>
        <tr r="AC156" s="29"/>
      </tp>
      <tp t="e">
        <v>#N/A</v>
        <stp/>
        <stp>BDP|11955324305053875056</stp>
        <tr r="W164" s="29"/>
        <tr r="W164" s="29"/>
        <tr r="W164" s="29"/>
      </tp>
      <tp t="e">
        <v>#N/A</v>
        <stp/>
        <stp>BDP|14263456324641613274</stp>
        <tr r="D164" s="29"/>
        <tr r="D164" s="29"/>
        <tr r="D164" s="29"/>
      </tp>
      <tp t="e">
        <v>#N/A</v>
        <stp/>
        <stp>BDP|11486365816552728075</stp>
        <tr r="M169" s="29"/>
      </tp>
      <tp t="e">
        <v>#N/A</v>
        <stp/>
        <stp>BDP|14965277233032191686</stp>
        <tr r="AO164" s="29"/>
        <tr r="AO164" s="29"/>
        <tr r="AO164" s="29"/>
      </tp>
      <tp t="e">
        <v>#N/A</v>
        <stp/>
        <stp>BDP|13311389642732853094</stp>
        <tr r="AA149" s="29"/>
        <tr r="AA149" s="29"/>
        <tr r="AA149" s="29"/>
      </tp>
      <tp t="e">
        <v>#N/A</v>
        <stp/>
        <stp>BDP|11575672741653755698</stp>
        <tr r="X168" s="29"/>
        <tr r="X168" s="29"/>
        <tr r="X168" s="29"/>
      </tp>
      <tp t="e">
        <v>#N/A</v>
        <stp/>
        <stp>BDP|13575925263188352291</stp>
        <tr r="AI157" s="29"/>
      </tp>
      <tp t="e">
        <v>#N/A</v>
        <stp/>
        <stp>BDP|13503271885977197873</stp>
        <tr r="A163" s="29"/>
      </tp>
      <tp t="e">
        <v>#N/A</v>
        <stp/>
        <stp>BDP|13327270380019224667</stp>
        <tr r="W163" s="29"/>
        <tr r="W163" s="29"/>
        <tr r="W163" s="29"/>
      </tp>
      <tp t="e">
        <v>#N/A</v>
        <stp/>
        <stp>BDP|13612617734595865583</stp>
        <tr r="AH168" s="29"/>
        <tr r="AH168" s="29"/>
        <tr r="AH168" s="29"/>
      </tp>
      <tp t="e">
        <v>#N/A</v>
        <stp/>
        <stp>BDP|17243485949237566644</stp>
        <tr r="N132" s="29"/>
        <tr r="E132" s="29"/>
        <tr r="I132" s="29"/>
        <tr r="W9" s="29"/>
        <tr r="P132" s="29"/>
      </tp>
      <tp t="e">
        <v>#N/A</v>
        <stp/>
        <stp>BDP|10811061961773471391</stp>
        <tr r="AK156" s="29"/>
      </tp>
      <tp t="e">
        <v>#N/A</v>
        <stp/>
        <stp>BDP|14038556158802752088</stp>
        <tr r="P137" s="29"/>
        <tr r="W14" s="29"/>
        <tr r="N137" s="29"/>
      </tp>
      <tp t="e">
        <v>#N/A</v>
        <stp/>
        <stp>BDP|15444075929801745084</stp>
        <tr r="N135" s="29"/>
        <tr r="P135" s="29"/>
        <tr r="I135" s="29"/>
        <tr r="W12" s="29"/>
        <tr r="E135" s="29"/>
      </tp>
      <tp t="e">
        <v>#N/A</v>
        <stp/>
        <stp>BDP|11424317654300580107</stp>
        <tr r="AK168" s="29"/>
        <tr r="AK168" s="29"/>
        <tr r="AK168" s="29"/>
      </tp>
      <tp t="e">
        <v>#N/A</v>
        <stp/>
        <stp>BDP|17675744423836794205</stp>
        <tr r="AC187" s="29"/>
        <tr r="AC187" s="29"/>
      </tp>
      <tp t="e">
        <v>#N/A</v>
        <stp/>
        <stp>BDP|17037140267705382287</stp>
        <tr r="AH155" s="29"/>
      </tp>
      <tp t="e">
        <v>#N/A</v>
        <stp/>
        <stp>BDP|10881481839090360006</stp>
        <tr r="A149" s="29"/>
      </tp>
      <tp t="e">
        <v>#N/A</v>
        <stp/>
        <stp>BDP|16484753905996685089</stp>
        <tr r="AD164" s="29"/>
        <tr r="AD164" s="29"/>
        <tr r="AD164" s="29"/>
      </tp>
      <tp t="e">
        <v>#N/A</v>
        <stp/>
        <stp>BDP|15528025334419801877</stp>
        <tr r="Y164" s="29"/>
        <tr r="Y164" s="29"/>
        <tr r="Y164" s="29"/>
      </tp>
      <tp t="e">
        <v>#N/A</v>
        <stp/>
        <stp>BDP|10783268437937104193</stp>
        <tr r="G165" s="29"/>
      </tp>
      <tp t="e">
        <v>#N/A</v>
        <stp/>
        <stp>BDP|15022606423707950199</stp>
        <tr r="AJ155" s="29"/>
      </tp>
      <tp t="e">
        <v>#N/A</v>
        <stp/>
        <stp>BDP|12768438102120288169</stp>
        <tr r="AK167" s="29"/>
        <tr r="AK167" s="29"/>
        <tr r="AK167" s="29"/>
      </tp>
      <tp t="e">
        <v>#N/A</v>
        <stp/>
        <stp>BDP|12850576963014935204</stp>
        <tr r="Y163" s="29"/>
        <tr r="Y163" s="29"/>
        <tr r="Y163" s="29"/>
      </tp>
      <tp t="e">
        <v>#N/A</v>
        <stp/>
        <stp>BDP|10117708169130596553</stp>
        <tr r="AL163" s="29"/>
        <tr r="AL163" s="29"/>
        <tr r="AL163" s="29"/>
      </tp>
      <tp t="e">
        <v>#N/A</v>
        <stp/>
        <stp>BDP|11674429209021014064</stp>
        <tr r="AH165" s="29"/>
        <tr r="AH165" s="29"/>
        <tr r="AH165" s="29"/>
      </tp>
      <tp t="e">
        <v>#N/A</v>
        <stp/>
        <stp>BDP|17334322414197820617</stp>
        <tr r="D147" s="29"/>
        <tr r="D147" s="29"/>
      </tp>
      <tp t="e">
        <v>#N/A</v>
        <stp/>
        <stp>BDP|10659023631392107581</stp>
        <tr r="AC149" s="29"/>
        <tr r="AC149" s="29"/>
      </tp>
      <tp t="e">
        <v>#N/A</v>
        <stp/>
        <stp>BDP|14117488554802177339</stp>
        <tr r="AD166" s="29"/>
        <tr r="AD166" s="29"/>
        <tr r="AD166" s="29"/>
      </tp>
      <tp t="e">
        <v>#N/A</v>
        <stp/>
        <stp>BDP|16903125856665451368</stp>
        <tr r="AM163" s="29"/>
        <tr r="AM163" s="29"/>
        <tr r="AM163" s="29"/>
      </tp>
      <tp t="e">
        <v>#N/A</v>
        <stp/>
        <stp>BDP|11298838348010428936</stp>
        <tr r="A167" s="29"/>
      </tp>
      <tp t="e">
        <v>#N/A</v>
        <stp/>
        <stp>BDP|10992991358279159185</stp>
        <tr r="AL166" s="29"/>
        <tr r="AL166" s="29"/>
        <tr r="AL166" s="29"/>
      </tp>
      <tp t="e">
        <v>#N/A</v>
        <stp/>
        <stp>BDP|14426719794018561659</stp>
        <tr r="B149" s="29"/>
      </tp>
      <tp t="e">
        <v>#N/A</v>
        <stp/>
        <stp>BDP|16766787648610247179</stp>
        <tr r="A165" s="29"/>
      </tp>
      <tp t="e">
        <v>#N/A</v>
        <stp/>
        <stp>BDP|16046214017591298016</stp>
        <tr r="AD167" s="29"/>
        <tr r="AD167" s="29"/>
        <tr r="AD167" s="29"/>
      </tp>
      <tp t="e">
        <v>#N/A</v>
        <stp/>
        <stp>BDP|11578730225567635703</stp>
        <tr r="AA187" s="29"/>
        <tr r="AA187" s="29"/>
        <tr r="AA187" s="29"/>
      </tp>
      <tp t="e">
        <v>#N/A</v>
        <stp/>
        <stp>BDP|14055654723536266203</stp>
        <tr r="AI164" s="29"/>
        <tr r="AI164" s="29"/>
        <tr r="AI164" s="29"/>
      </tp>
      <tp t="e">
        <v>#N/A</v>
        <stp/>
        <stp>BDP|10048801694007005239</stp>
        <tr r="AI148" s="29"/>
        <tr r="H148" s="29"/>
        <tr r="H148" s="29"/>
      </tp>
      <tp t="e">
        <v>#N/A</v>
        <stp/>
        <stp>BDP|17099495532766507280</stp>
        <tr r="AO167" s="29"/>
        <tr r="AO167" s="29"/>
        <tr r="AO167" s="29"/>
      </tp>
      <tp t="e">
        <v>#N/A</v>
        <stp/>
        <stp>BDP|17779617363731808348</stp>
        <tr r="AE169" s="29"/>
        <tr r="AE169" s="29"/>
        <tr r="AE169" s="29"/>
      </tp>
      <tp t="e">
        <v>#N/A</v>
        <stp/>
        <stp>BDP|12170658987910836923</stp>
        <tr r="D156" s="29"/>
        <tr r="D156" s="29"/>
        <tr r="D156" s="29"/>
        <tr r="AN156" s="29"/>
        <tr r="AN156" s="29"/>
        <tr r="AN156" s="29"/>
      </tp>
      <tp t="e">
        <v>#N/A</v>
        <stp/>
        <stp>BDP|17912295749440898492</stp>
        <tr r="AO156" s="29"/>
        <tr r="AO156" s="29"/>
        <tr r="AO156" s="29"/>
      </tp>
      <tp t="e">
        <v>#N/A</v>
        <stp/>
        <stp>BDP|13806832518329114699</stp>
        <tr r="H164" s="29"/>
      </tp>
      <tp t="e">
        <v>#N/A</v>
        <stp/>
        <stp>BDP|15078597969925819620</stp>
        <tr r="M167" s="29"/>
      </tp>
      <tp t="e">
        <v>#N/A</v>
        <stp/>
        <stp>BDP|11809950489231320492</stp>
        <tr r="AP166" s="29"/>
        <tr r="AP166" s="29"/>
        <tr r="AP166" s="29"/>
      </tp>
      <tp t="e">
        <v>#N/A</v>
        <stp/>
        <stp>BDP|14725195932927400495</stp>
        <tr r="AE148" s="29"/>
      </tp>
      <tp t="e">
        <v>#N/A</v>
        <stp/>
        <stp>BDP|12726227062352798115</stp>
        <tr r="W167" s="29"/>
        <tr r="W167" s="29"/>
        <tr r="W167" s="29"/>
      </tp>
      <tp t="e">
        <v>#N/A</v>
        <stp/>
        <stp>BDP|17893475129286074268</stp>
        <tr r="Z166" s="29"/>
        <tr r="Z166" s="29"/>
        <tr r="Z166" s="29"/>
      </tp>
      <tp t="e">
        <v>#N/A</v>
        <stp/>
        <stp>BDP|10372450126224965793</stp>
        <tr r="AR187" s="29"/>
        <tr r="AR187" s="29"/>
      </tp>
      <tp t="e">
        <v>#N/A</v>
        <stp/>
        <stp>BDP|13178672266317095136</stp>
        <tr r="AE168" s="29"/>
        <tr r="AE168" s="29"/>
        <tr r="AE168" s="29"/>
      </tp>
      <tp t="e">
        <v>#N/A</v>
        <stp/>
        <stp>BDP|13244135144887220420</stp>
        <tr r="AL187" s="29"/>
        <tr r="AL187" s="29"/>
        <tr r="AL187" s="29"/>
      </tp>
      <tp t="e">
        <v>#N/A</v>
        <stp/>
        <stp>BDP|10664070322862111555</stp>
        <tr r="AN168" s="29"/>
        <tr r="AN168" s="29"/>
        <tr r="AN168" s="29"/>
      </tp>
      <tp t="e">
        <v>#N/A</v>
        <stp/>
        <stp>BDP|10836464537631779393</stp>
        <tr r="G164" s="29"/>
      </tp>
    </main>
    <main first="bofaddin.rtdserver">
      <tp t="e">
        <v>#N/A</v>
        <stp/>
        <stp>BDP|4991431234496486945</stp>
        <tr r="AP169" s="29"/>
        <tr r="AP169" s="29"/>
        <tr r="AP169" s="29"/>
      </tp>
      <tp t="e">
        <v>#N/A</v>
        <stp/>
        <stp>BDP|7882012384987678495</stp>
        <tr r="G163" s="29"/>
      </tp>
      <tp t="e">
        <v>#N/A</v>
        <stp/>
        <stp>BDP|7937579778298794121</stp>
        <tr r="AJ164" s="29"/>
        <tr r="AJ164" s="29"/>
        <tr r="AJ164" s="29"/>
      </tp>
      <tp t="e">
        <v>#N/A</v>
        <stp/>
        <stp>BDP|7722407232335251944</stp>
        <tr r="H157" s="29"/>
        <tr r="H157" s="29"/>
        <tr r="H157" s="29"/>
      </tp>
      <tp t="e">
        <v>#N/A</v>
        <stp/>
        <stp>BDP|3834985250630689371</stp>
        <tr r="AA164" s="29"/>
        <tr r="AA164" s="29"/>
        <tr r="AA164" s="29"/>
      </tp>
      <tp t="e">
        <v>#N/A</v>
        <stp/>
        <stp>BDP|8674451475386337123</stp>
        <tr r="X157" s="29"/>
        <tr r="X157" s="29"/>
        <tr r="X157" s="29"/>
      </tp>
      <tp t="e">
        <v>#N/A</v>
        <stp/>
        <stp>BDP|6138107699110976267</stp>
        <tr r="AB148" s="29"/>
      </tp>
      <tp t="e">
        <v>#N/A</v>
        <stp/>
        <stp>BDP|8852456100699808916</stp>
        <tr r="AI147" s="29"/>
      </tp>
      <tp t="e">
        <v>#N/A</v>
        <stp/>
        <stp>BDP|5981408333537683993</stp>
        <tr r="AW168" s="29"/>
      </tp>
      <tp t="e">
        <v>#N/A</v>
        <stp/>
        <stp>BDP|2940060676130110823</stp>
        <tr r="X164" s="29"/>
        <tr r="X164" s="29"/>
        <tr r="X164" s="29"/>
      </tp>
      <tp t="e">
        <v>#N/A</v>
        <stp/>
        <stp>BDP|2747852728430928588</stp>
        <tr r="X155" s="29"/>
        <tr r="X155" s="29"/>
        <tr r="X155" s="29"/>
      </tp>
      <tp t="e">
        <v>#N/A</v>
        <stp/>
        <stp>BDP|7224900818033713158</stp>
        <tr r="I164" s="29"/>
        <tr r="I164" s="29"/>
        <tr r="I164" s="29"/>
      </tp>
      <tp t="e">
        <v>#N/A</v>
        <stp/>
        <stp>BDP|5445604666940860822</stp>
        <tr r="Y187" s="29"/>
        <tr r="Y187" s="29"/>
        <tr r="Y187" s="29"/>
      </tp>
      <tp t="e">
        <v>#N/A</v>
        <stp/>
        <stp>BDP|2902177284711392716</stp>
        <tr r="I147" s="29"/>
        <tr r="I147" s="29"/>
      </tp>
      <tp t="e">
        <v>#N/A</v>
        <stp/>
        <stp>BDP|5280403719199402410</stp>
        <tr r="D147" s="29"/>
        <tr r="D147" s="29"/>
      </tp>
      <tp t="e">
        <v>#N/A</v>
        <stp/>
        <stp>BDP|2987508985175980799</stp>
        <tr r="M166" s="29"/>
      </tp>
      <tp t="e">
        <v>#N/A</v>
        <stp/>
        <stp>BDP|2913984246051208346</stp>
        <tr r="E163" s="29"/>
        <tr r="E163" s="29"/>
        <tr r="E163" s="29"/>
      </tp>
      <tp t="e">
        <v>#N/A</v>
        <stp/>
        <stp>BDP|4796883190769841102</stp>
        <tr r="AF187" s="29"/>
        <tr r="AF187" s="29"/>
      </tp>
      <tp t="e">
        <v>#N/A</v>
        <stp/>
        <stp>BDP|9967021990945401880</stp>
        <tr r="AP156" s="29"/>
        <tr r="AP156" s="29"/>
        <tr r="AP156" s="29"/>
      </tp>
      <tp t="e">
        <v>#N/A</v>
        <stp/>
        <stp>BDP|4479836080628406169</stp>
        <tr r="AM169" s="29"/>
        <tr r="AM169" s="29"/>
        <tr r="AM169" s="29"/>
      </tp>
      <tp t="e">
        <v>#N/A</v>
        <stp/>
        <stp>BDP|5030559385807831123</stp>
        <tr r="J149" s="29"/>
      </tp>
      <tp t="e">
        <v>#N/A</v>
        <stp/>
        <stp>BDP|9490258530494972209</stp>
        <tr r="A164" s="29"/>
      </tp>
      <tp t="e">
        <v>#N/A</v>
        <stp/>
        <stp>BDP|9789719152414509195</stp>
        <tr r="AF168" s="29"/>
        <tr r="AF168" s="29"/>
        <tr r="AF168" s="29"/>
      </tp>
      <tp t="e">
        <v>#N/A</v>
        <stp/>
        <stp>BDP|1328688816241637952</stp>
        <tr r="M156" s="29"/>
      </tp>
      <tp t="e">
        <v>#N/A</v>
        <stp/>
        <stp>BDP|3806742559769409621</stp>
        <tr r="AN166" s="29"/>
        <tr r="AN166" s="29"/>
        <tr r="AN166" s="29"/>
      </tp>
      <tp t="e">
        <v>#N/A</v>
        <stp/>
        <stp>BDP|7234843999278684098</stp>
        <tr r="E168" s="29"/>
        <tr r="E168" s="29"/>
        <tr r="E168" s="29"/>
      </tp>
      <tp t="e">
        <v>#N/A</v>
        <stp/>
        <stp>BDP|9532930550239126269</stp>
        <tr r="AK169" s="29"/>
        <tr r="AK169" s="29"/>
        <tr r="AK169" s="29"/>
      </tp>
      <tp t="e">
        <v>#N/A</v>
        <stp/>
        <stp>BDP|7200284933921911969</stp>
        <tr r="AG187" s="29"/>
        <tr r="AG187" s="29"/>
        <tr r="AG187" s="29"/>
      </tp>
      <tp t="e">
        <v>#N/A</v>
        <stp/>
        <stp>BDP|3887008252278916061</stp>
        <tr r="AI148" s="29"/>
      </tp>
      <tp t="e">
        <v>#N/A</v>
        <stp/>
        <stp>BDP|5318376706008750006</stp>
        <tr r="AO165" s="29"/>
        <tr r="AO165" s="29"/>
        <tr r="AO165" s="29"/>
      </tp>
      <tp t="e">
        <v>#N/A</v>
        <stp/>
        <stp>BDP|4531446828665785842</stp>
        <tr r="D148" s="29"/>
        <tr r="D148" s="29"/>
      </tp>
      <tp t="e">
        <v>#N/A</v>
        <stp/>
        <stp>BDP|8530105057041108296</stp>
        <tr r="AW165" s="29"/>
      </tp>
      <tp t="e">
        <v>#N/A</v>
        <stp/>
        <stp>BDP|4997173335658795147</stp>
        <tr r="F157" s="29"/>
      </tp>
      <tp t="e">
        <v>#N/A</v>
        <stp/>
        <stp>BDP|1682256830977924841</stp>
        <tr r="H169" s="29"/>
      </tp>
      <tp t="e">
        <v>#N/A</v>
        <stp/>
        <stp>BDP|8061213471365913769</stp>
        <tr r="H147" s="29"/>
        <tr r="H147" s="29"/>
        <tr r="AI147" s="29"/>
      </tp>
      <tp t="e">
        <v>#N/A</v>
        <stp/>
        <stp>BDP|8152067793188320680</stp>
        <tr r="M148" s="29"/>
      </tp>
      <tp t="e">
        <v>#N/A</v>
        <stp/>
        <stp>BDP|3839811712250737512</stp>
        <tr r="AI167" s="29"/>
        <tr r="AI167" s="29"/>
        <tr r="AI167" s="29"/>
      </tp>
      <tp t="e">
        <v>#N/A</v>
        <stp/>
        <stp>BDP|1213462693900139340</stp>
        <tr r="AE164" s="29"/>
        <tr r="AE164" s="29"/>
        <tr r="AE164" s="29"/>
      </tp>
      <tp t="e">
        <v>#N/A</v>
        <stp/>
        <stp>BDP|7756417709098824458</stp>
        <tr r="AB164" s="29"/>
        <tr r="AB164" s="29"/>
        <tr r="AB164" s="29"/>
      </tp>
      <tp t="e">
        <v>#N/A</v>
        <stp/>
        <stp>BDP|6277888159236221239</stp>
        <tr r="AN187" s="29"/>
        <tr r="AN187" s="29"/>
        <tr r="AN187" s="29"/>
      </tp>
      <tp t="e">
        <v>#N/A</v>
        <stp/>
        <stp>BDP|4520559850739060236</stp>
        <tr r="I157" s="29"/>
        <tr r="I157" s="29"/>
        <tr r="I157" s="29"/>
      </tp>
      <tp t="e">
        <v>#N/A</v>
        <stp/>
        <stp>BDP|5402881136555939438</stp>
        <tr r="AE187" s="29"/>
        <tr r="AE187" s="29"/>
      </tp>
      <tp t="e">
        <v>#N/A</v>
        <stp/>
        <stp>BDP|3021606122259724154</stp>
        <tr r="AP167" s="29"/>
        <tr r="AP167" s="29"/>
        <tr r="AP167" s="29"/>
      </tp>
      <tp t="e">
        <v>#N/A</v>
        <stp/>
        <stp>BDP|8209405489194175800</stp>
        <tr r="AD187" s="29"/>
        <tr r="AD187" s="29"/>
      </tp>
      <tp t="e">
        <v>#N/A</v>
        <stp/>
        <stp>BDP|6981954920442118760</stp>
        <tr r="AL165" s="29"/>
        <tr r="AL165" s="29"/>
        <tr r="AL165" s="29"/>
      </tp>
      <tp t="e">
        <v>#N/A</v>
        <stp/>
        <stp>BDP|4444656483766373499</stp>
        <tr r="G169" s="29"/>
      </tp>
      <tp t="e">
        <v>#N/A</v>
        <stp/>
        <stp>BDP|4115936979052352009</stp>
        <tr r="AC165" s="29"/>
        <tr r="AC165" s="29"/>
        <tr r="AC165" s="29"/>
      </tp>
      <tp t="e">
        <v>#N/A</v>
        <stp/>
        <stp>BDP|1307615910809926755</stp>
        <tr r="B167" s="29"/>
      </tp>
      <tp t="e">
        <v>#N/A</v>
        <stp/>
        <stp>BDP|6595423121611892912</stp>
        <tr r="X165" s="29"/>
        <tr r="X165" s="29"/>
        <tr r="X165" s="29"/>
      </tp>
      <tp t="e">
        <v>#N/A</v>
        <stp/>
        <stp>BDP|8646212334096001713</stp>
        <tr r="H155" s="29"/>
        <tr r="H155" s="29"/>
        <tr r="H155" s="29"/>
      </tp>
      <tp t="e">
        <v>#N/A</v>
        <stp/>
        <stp>BDP|2869707290410258487</stp>
        <tr r="X156" s="29"/>
        <tr r="X156" s="29"/>
        <tr r="X156" s="29"/>
      </tp>
      <tp t="e">
        <v>#N/A</v>
        <stp/>
        <stp>BDP|7923902121334903018</stp>
        <tr r="AF166" s="29"/>
        <tr r="AF166" s="29"/>
        <tr r="AF166" s="29"/>
      </tp>
      <tp t="e">
        <v>#N/A</v>
        <stp/>
        <stp>BDP|8060038442991130516</stp>
        <tr r="F163" s="29"/>
        <tr r="F163" s="29"/>
        <tr r="F163" s="29"/>
      </tp>
      <tp t="e">
        <v>#N/A</v>
        <stp/>
        <stp>BDP|6533616132569300247</stp>
        <tr r="B163" s="29"/>
      </tp>
      <tp t="e">
        <v>#N/A</v>
        <stp/>
        <stp>BDP|1531845982891033854</stp>
        <tr r="J163" s="29"/>
        <tr r="J163" s="29"/>
        <tr r="J163" s="29"/>
      </tp>
      <tp t="e">
        <v>#N/A</v>
        <stp/>
        <stp>BDP|5239107437497260835</stp>
        <tr r="AW166" s="29"/>
      </tp>
      <tp t="e">
        <v>#N/A</v>
        <stp/>
        <stp>BDP|2749510705978760708</stp>
        <tr r="AJ163" s="29"/>
        <tr r="AJ163" s="29"/>
        <tr r="AJ163" s="29"/>
      </tp>
      <tp t="e">
        <v>#N/A</v>
        <stp/>
        <stp>BDP|7373903038547752286</stp>
        <tr r="D169" s="29"/>
        <tr r="D169" s="29"/>
        <tr r="D169" s="29"/>
      </tp>
      <tp t="e">
        <v>#N/A</v>
        <stp/>
        <stp>BDP|4683211017737205869</stp>
        <tr r="AO168" s="29"/>
        <tr r="AO168" s="29"/>
        <tr r="AO168" s="29"/>
      </tp>
      <tp t="e">
        <v>#N/A</v>
        <stp/>
        <stp>BDP|6164625036019813374</stp>
        <tr r="AN164" s="29"/>
        <tr r="AN164" s="29"/>
        <tr r="AN164" s="29"/>
      </tp>
      <tp t="e">
        <v>#N/A</v>
        <stp/>
        <stp>BDP|9210448416242897743</stp>
        <tr r="AH166" s="29"/>
        <tr r="AH166" s="29"/>
        <tr r="AH166" s="29"/>
      </tp>
      <tp t="e">
        <v>#N/A</v>
        <stp/>
        <stp>BDP|9170635703185548364</stp>
        <tr r="AB149" s="29"/>
      </tp>
      <tp t="e">
        <v>#N/A</v>
        <stp/>
        <stp>BDP|7012843846541722341</stp>
        <tr r="AJ165" s="29"/>
        <tr r="AJ165" s="29"/>
        <tr r="AJ165" s="29"/>
      </tp>
      <tp t="e">
        <v>#N/A</v>
        <stp/>
        <stp>BDP|7086964297546432839</stp>
        <tr r="Y169" s="29"/>
        <tr r="Y169" s="29"/>
        <tr r="Y169" s="29"/>
      </tp>
      <tp t="e">
        <v>#N/A</v>
        <stp/>
        <stp>BDP|1185547577089510320</stp>
        <tr r="AM157" s="29"/>
      </tp>
      <tp t="e">
        <v>#N/A</v>
        <stp/>
        <stp>BDP|1013437133048283778</stp>
        <tr r="AK147" s="29"/>
        <tr r="AK147" s="29"/>
        <tr r="AK147" s="29"/>
      </tp>
      <tp t="e">
        <v>#N/A</v>
        <stp/>
        <stp>BDP|6341895449946856618</stp>
        <tr r="AP168" s="29"/>
        <tr r="AP168" s="29"/>
        <tr r="AP168" s="29"/>
      </tp>
      <tp t="e">
        <v>#N/A</v>
        <stp/>
        <stp>BDP|5299919570353846201</stp>
        <tr r="F168" s="29"/>
        <tr r="F168" s="29"/>
        <tr r="F168" s="29"/>
      </tp>
      <tp t="e">
        <v>#N/A</v>
        <stp/>
        <stp>BDP|3217330625650558837</stp>
        <tr r="W157" s="29"/>
        <tr r="W157" s="29"/>
      </tp>
      <tp t="e">
        <v>#N/A</v>
        <stp/>
        <stp>BDP|2181238044618016658</stp>
        <tr r="AO155" s="29"/>
        <tr r="AO155" s="29"/>
      </tp>
      <tp t="e">
        <v>#N/A</v>
        <stp/>
        <stp>BDP|9787065026271506042</stp>
        <tr r="A168" s="29"/>
      </tp>
      <tp t="e">
        <v>#N/A</v>
        <stp/>
        <stp>BDP|5261061318616866832</stp>
        <tr r="J168" s="29"/>
        <tr r="J168" s="29"/>
        <tr r="J168" s="29"/>
      </tp>
      <tp t="e">
        <v>#N/A</v>
        <stp/>
        <stp>BDP|5018365724939046762</stp>
        <tr r="AM167" s="29"/>
        <tr r="AM167" s="29"/>
        <tr r="AM167" s="29"/>
      </tp>
      <tp t="e">
        <v>#N/A</v>
        <stp/>
        <stp>BDP|8201891492966537581</stp>
        <tr r="B187" s="29"/>
      </tp>
      <tp t="e">
        <v>#N/A</v>
        <stp/>
        <stp>BDP|2727940924236191525</stp>
        <tr r="AM166" s="29"/>
        <tr r="AM166" s="29"/>
        <tr r="AM166" s="29"/>
      </tp>
      <tp t="e">
        <v>#N/A</v>
        <stp/>
        <stp>BDP|7725787375489784552</stp>
        <tr r="U147" s="29"/>
      </tp>
      <tp t="e">
        <v>#N/A</v>
        <stp/>
        <stp>BDP|3290803640980854459</stp>
        <tr r="AG167" s="29"/>
        <tr r="AG167" s="29"/>
        <tr r="AG167" s="29"/>
      </tp>
      <tp t="e">
        <v>#N/A</v>
        <stp/>
        <stp>BDP|5952378369012316984</stp>
        <tr r="E155" s="29"/>
      </tp>
      <tp t="e">
        <v>#N/A</v>
        <stp/>
        <stp>BDP|3842808415946714779</stp>
        <tr r="AB166" s="29"/>
        <tr r="AB166" s="29"/>
        <tr r="AB166" s="29"/>
      </tp>
      <tp t="e">
        <v>#N/A</v>
        <stp/>
        <stp>BDP|1514360836979019386</stp>
        <tr r="AB147" s="29"/>
      </tp>
      <tp t="e">
        <v>#N/A</v>
        <stp/>
        <stp>BDP|2268452648090765954</stp>
        <tr r="AC157" s="29"/>
      </tp>
      <tp t="e">
        <v>#N/A</v>
        <stp/>
        <stp>BDP|5707311311638100441</stp>
        <tr r="I148" s="29"/>
        <tr r="I148" s="29"/>
      </tp>
      <tp t="e">
        <v>#N/A</v>
        <stp/>
        <stp>BDP|8150152149351546785</stp>
        <tr r="AL164" s="29"/>
        <tr r="AL164" s="29"/>
        <tr r="AL164" s="29"/>
      </tp>
      <tp t="e">
        <v>#N/A</v>
        <stp/>
        <stp>BDP|4290141827714881890</stp>
        <tr r="H163" s="29"/>
      </tp>
      <tp t="e">
        <v>#N/A</v>
        <stp/>
        <stp>BDP|1214058087804638603</stp>
        <tr r="AJ157" s="29"/>
      </tp>
      <tp t="e">
        <v>#N/A</v>
        <stp/>
        <stp>BDP|9814479963616212695</stp>
        <tr r="H167" s="29"/>
      </tp>
      <tp t="e">
        <v>#N/A</v>
        <stp/>
        <stp>BDP|8231163127930663010</stp>
        <tr r="AI169" s="29"/>
        <tr r="AI169" s="29"/>
        <tr r="AI169" s="29"/>
      </tp>
      <tp t="e">
        <v>#N/A</v>
        <stp/>
        <stp>BDP|1193153029063541533</stp>
        <tr r="AN167" s="29"/>
        <tr r="AN167" s="29"/>
        <tr r="AN167" s="29"/>
      </tp>
      <tp t="e">
        <v>#N/A</v>
        <stp/>
        <stp>BDP|7223078963753438698</stp>
        <tr r="AF156" s="29"/>
      </tp>
      <tp t="e">
        <v>#N/A</v>
        <stp/>
        <stp>BDP|3199588053113179401</stp>
        <tr r="G155" s="29"/>
        <tr r="G155" s="29"/>
      </tp>
      <tp t="e">
        <v>#N/A</v>
        <stp/>
        <stp>BDP|4662763869314446540</stp>
        <tr r="AE163" s="29"/>
        <tr r="AE163" s="29"/>
        <tr r="AE163" s="29"/>
      </tp>
      <tp t="e">
        <v>#N/A</v>
        <stp/>
        <stp>BDP|1982979487943111756</stp>
        <tr r="Z148" s="29"/>
        <tr r="Z148" s="29"/>
      </tp>
      <tp t="e">
        <v>#N/A</v>
        <stp/>
        <stp>BDP|9187992940653962337</stp>
        <tr r="AP157" s="29"/>
        <tr r="AP157" s="29"/>
        <tr r="AP157" s="29"/>
      </tp>
      <tp t="e">
        <v>#N/A</v>
        <stp/>
        <stp>BDP|2914813663278817050</stp>
        <tr r="AL157" s="29"/>
      </tp>
      <tp t="e">
        <v>#N/A</v>
        <stp/>
        <stp>BDP|3328732608949670997</stp>
        <tr r="AM164" s="29"/>
        <tr r="AM164" s="29"/>
        <tr r="AM164" s="29"/>
      </tp>
      <tp t="e">
        <v>#N/A</v>
        <stp/>
        <stp>BDP|7932814556016945806</stp>
        <tr r="M156" s="29"/>
      </tp>
      <tp t="e">
        <v>#N/A</v>
        <stp/>
        <stp>BDP|1025712900076618432</stp>
        <tr r="M168" s="29"/>
      </tp>
      <tp t="e">
        <v>#N/A</v>
        <stp/>
        <stp>BDP|6088759404195714032</stp>
        <tr r="AG169" s="29"/>
        <tr r="AG169" s="29"/>
        <tr r="AG169" s="29"/>
      </tp>
      <tp t="e">
        <v>#N/A</v>
        <stp/>
        <stp>BDP|2003802594685720265</stp>
        <tr r="AL169" s="29"/>
        <tr r="AL169" s="29"/>
        <tr r="AL169" s="29"/>
      </tp>
      <tp t="e">
        <v>#N/A</v>
        <stp/>
        <stp>BDP|2077064482046992940</stp>
        <tr r="W169" s="29"/>
        <tr r="W169" s="29"/>
        <tr r="W169" s="29"/>
      </tp>
      <tp t="e">
        <v>#N/A</v>
        <stp/>
        <stp>BDP|6915469002356834180</stp>
        <tr r="F156" s="29"/>
      </tp>
      <tp t="e">
        <v>#N/A</v>
        <stp/>
        <stp>BDP|3994101280296301970</stp>
        <tr r="G149" s="29"/>
      </tp>
      <tp t="e">
        <v>#N/A</v>
        <stp/>
        <stp>BDP|6520094907026569531</stp>
        <tr r="U177" s="29"/>
        <tr r="U177" s="29"/>
        <tr r="U177" s="29"/>
        <tr r="U175" s="29"/>
        <tr r="U175" s="29"/>
        <tr r="U175" s="29"/>
        <tr r="U176" s="29"/>
        <tr r="U176" s="29"/>
        <tr r="U176" s="29"/>
        <tr r="U178" s="29"/>
        <tr r="U178" s="29"/>
        <tr r="U178" s="29"/>
      </tp>
      <tp t="e">
        <v>#N/A</v>
        <stp/>
        <stp>BDP|7278513761911088008</stp>
        <tr r="U149" s="29"/>
      </tp>
      <tp t="e">
        <v>#N/A</v>
        <stp/>
        <stp>BDP|4600167943933787771</stp>
        <tr r="Z163" s="29"/>
        <tr r="Z163" s="29"/>
        <tr r="Z163" s="29"/>
      </tp>
      <tp t="e">
        <v>#N/A</v>
        <stp/>
        <stp>BDP|3793064345823750130</stp>
        <tr r="AN163" s="29"/>
        <tr r="AN163" s="29"/>
        <tr r="AN163" s="29"/>
      </tp>
      <tp t="e">
        <v>#N/A</v>
        <stp/>
        <stp>BDP|2185416665655379005</stp>
        <tr r="I149" s="29"/>
        <tr r="I149" s="29"/>
      </tp>
      <tp t="e">
        <v>#N/A</v>
        <stp/>
        <stp>BDP|3745966885517304018</stp>
        <tr r="F155" s="29"/>
      </tp>
      <tp t="e">
        <v>#N/A</v>
        <stp/>
        <stp>BDP|7335966067465647836</stp>
        <tr r="A147" s="29"/>
      </tp>
      <tp t="e">
        <v>#N/A</v>
        <stp/>
        <stp>BDP|3001752477213463532</stp>
        <tr r="I166" s="29"/>
        <tr r="I166" s="29"/>
        <tr r="I166" s="29"/>
      </tp>
      <tp t="e">
        <v>#N/A</v>
        <stp/>
        <stp>BDP|7854982137380745857</stp>
        <tr r="E166" s="29"/>
        <tr r="E166" s="29"/>
        <tr r="E166" s="29"/>
      </tp>
      <tp t="e">
        <v>#N/A</v>
        <stp/>
        <stp>BDP|3291691673286171236</stp>
        <tr r="H166" s="29"/>
      </tp>
      <tp t="e">
        <v>#N/A</v>
        <stp/>
        <stp>BDP|2986503345735653009</stp>
        <tr r="A157" s="29"/>
      </tp>
      <tp t="e">
        <v>#N/A</v>
        <stp/>
        <stp>BDP|2550783620637432636</stp>
        <tr r="AA156" s="29"/>
        <tr r="AA156" s="29"/>
        <tr r="AA156" s="29"/>
      </tp>
      <tp t="e">
        <v>#N/A</v>
        <stp/>
        <stp>BDP|1988548891513221856</stp>
        <tr r="L2" s="32"/>
      </tp>
      <tp t="e">
        <v>#N/A</v>
        <stp/>
        <stp>BDP|2041081384524463836</stp>
        <tr r="M157" s="29"/>
      </tp>
      <tp t="e">
        <v>#N/A</v>
        <stp/>
        <stp>BDP|9227828059812206005</stp>
        <tr r="X187" s="29"/>
        <tr r="X187" s="29"/>
        <tr r="X187" s="29"/>
      </tp>
      <tp t="e">
        <v>#N/A</v>
        <stp/>
        <stp>BDP|5580238858141246549</stp>
        <tr r="D168" s="29"/>
        <tr r="D168" s="29"/>
        <tr r="D168" s="29"/>
      </tp>
      <tp t="e">
        <v>#N/A</v>
        <stp/>
        <stp>BDP|1624189702475218303</stp>
        <tr r="AJ149" s="29"/>
      </tp>
      <tp t="e">
        <v>#N/A</v>
        <stp/>
        <stp>BDP|6999946380498953986</stp>
        <tr r="G148" s="29"/>
      </tp>
      <tp t="e">
        <v>#N/A</v>
        <stp/>
        <stp>BDP|2629923837547370932</stp>
        <tr r="AN169" s="29"/>
        <tr r="AN169" s="29"/>
        <tr r="AN169" s="29"/>
      </tp>
      <tp t="e">
        <v>#N/A</v>
        <stp/>
        <stp>BDP|5983733321921332788</stp>
        <tr r="AJ147" s="29"/>
      </tp>
      <tp t="e">
        <v>#N/A</v>
        <stp/>
        <stp>BDP|8914803531844921113</stp>
        <tr r="J155" s="29"/>
        <tr r="J155" s="29"/>
      </tp>
      <tp t="e">
        <v>#N/A</v>
        <stp/>
        <stp>BDP|2714481706522838202</stp>
        <tr r="M166" s="29"/>
      </tp>
      <tp t="e">
        <v>#N/A</v>
        <stp/>
        <stp>BDP|9414936440481306326</stp>
        <tr r="AL156" s="29"/>
      </tp>
      <tp t="e">
        <v>#N/A</v>
        <stp/>
        <stp>BDP|9128164581707177112</stp>
        <tr r="E133" s="29"/>
        <tr r="N133" s="29"/>
        <tr r="P133" s="29"/>
        <tr r="I138" s="29"/>
        <tr r="I133" s="29"/>
        <tr r="W10" s="29"/>
        <tr r="E138" s="29"/>
      </tp>
      <tp t="e">
        <v>#N/A</v>
        <stp/>
        <stp>BDP|5193255318799910925</stp>
        <tr r="AI155" s="29"/>
      </tp>
      <tp t="e">
        <v>#N/A</v>
        <stp/>
        <stp>BDP|7535630298999096797</stp>
        <tr r="E156" s="29"/>
      </tp>
      <tp t="e">
        <v>#N/A</v>
        <stp/>
        <stp>BDP|4788202287138629023</stp>
        <tr r="G167" s="29"/>
      </tp>
      <tp t="e">
        <v>#N/A</v>
        <stp/>
        <stp>BDP|6709797100382792430</stp>
        <tr r="Z155" s="29"/>
        <tr r="Z155" s="29"/>
      </tp>
      <tp t="e">
        <v>#N/A</v>
        <stp/>
        <stp>BDP|4443562508191439751</stp>
        <tr r="B147" s="29"/>
      </tp>
      <tp t="e">
        <v>#N/A</v>
        <stp/>
        <stp>BDP|6769508655245865426</stp>
        <tr r="AF157" s="29"/>
      </tp>
      <tp t="e">
        <v>#N/A</v>
        <stp/>
        <stp>BDP|1070524958055022327</stp>
        <tr r="AH163" s="29"/>
        <tr r="AH163" s="29"/>
        <tr r="AH163" s="29"/>
      </tp>
      <tp t="e">
        <v>#N/A</v>
        <stp/>
        <stp>BDP|9309905630306896225</stp>
        <tr r="AO163" s="29"/>
        <tr r="AO163" s="29"/>
        <tr r="AO163" s="29"/>
      </tp>
      <tp t="e">
        <v>#N/A</v>
        <stp/>
        <stp>BDP|6889114925001637330</stp>
        <tr r="M163" s="29"/>
      </tp>
      <tp t="e">
        <v>#N/A</v>
        <stp/>
        <stp>BDP|6852118130582485140</stp>
        <tr r="AO157" s="29"/>
        <tr r="AO157" s="29"/>
        <tr r="AO157" s="29"/>
      </tp>
      <tp t="e">
        <v>#N/A</v>
        <stp/>
        <stp>BDP|5206871686084773693</stp>
        <tr r="Z147" s="29"/>
        <tr r="Z147" s="29"/>
      </tp>
      <tp t="e">
        <v>#N/A</v>
        <stp/>
        <stp>BDP|5868933084466581584</stp>
        <tr r="AJ148" s="29"/>
      </tp>
      <tp t="e">
        <v>#N/A</v>
        <stp/>
        <stp>BDP|3498239875098695943</stp>
        <tr r="Y167" s="29"/>
        <tr r="Y167" s="29"/>
        <tr r="Y167" s="29"/>
      </tp>
      <tp t="e">
        <v>#N/A</v>
        <stp/>
        <stp>BDP|8414635256418634472</stp>
        <tr r="AK166" s="29"/>
        <tr r="AK166" s="29"/>
        <tr r="AK166" s="29"/>
      </tp>
      <tp t="e">
        <v>#N/A</v>
        <stp/>
        <stp>BDP|9361993943391947269</stp>
        <tr r="AJ169" s="29"/>
        <tr r="AJ169" s="29"/>
        <tr r="AJ169" s="29"/>
      </tp>
      <tp t="e">
        <v>#N/A</v>
        <stp/>
        <stp>BDP|2118378970219216828</stp>
        <tr r="AD156" s="29"/>
      </tp>
      <tp t="e">
        <v>#N/A</v>
        <stp/>
        <stp>BDP|5406587956357476598</stp>
        <tr r="AM187" s="29"/>
        <tr r="AM187" s="29"/>
        <tr r="AM187" s="29"/>
      </tp>
      <tp t="e">
        <v>#N/A</v>
        <stp/>
        <stp>BDP|5376306871985683332</stp>
        <tr r="AD169" s="29"/>
        <tr r="AD169" s="29"/>
        <tr r="AD169" s="29"/>
      </tp>
      <tp t="e">
        <v>#N/A</v>
        <stp/>
        <stp>BDP|3661451205667638745</stp>
        <tr r="J165" s="29"/>
        <tr r="J165" s="29"/>
        <tr r="J165" s="29"/>
      </tp>
      <tp t="e">
        <v>#N/A</v>
        <stp/>
        <stp>BDP|4057819125168061110</stp>
        <tr r="X169" s="29"/>
        <tr r="X169" s="29"/>
        <tr r="X169" s="29"/>
      </tp>
      <tp t="e">
        <v>#N/A</v>
        <stp/>
        <stp>BDP|4512469936943504754</stp>
        <tr r="A156" s="29"/>
      </tp>
      <tp t="e">
        <v>#N/A</v>
        <stp/>
        <stp>BDP|4957709638154980407</stp>
        <tr r="Z156" s="29"/>
        <tr r="Z156" s="29"/>
        <tr r="Z156" s="29"/>
      </tp>
      <tp t="e">
        <v>#N/A</v>
        <stp/>
        <stp>BDP|4139113359725082506</stp>
        <tr r="AE165" s="29"/>
        <tr r="AE165" s="29"/>
        <tr r="AE165" s="29"/>
      </tp>
      <tp t="e">
        <v>#N/A</v>
        <stp/>
        <stp>BDP|1965380078170329536</stp>
        <tr r="A166" s="29"/>
      </tp>
      <tp t="e">
        <v>#N/A</v>
        <stp/>
        <stp>BDP|6361094714782571557</stp>
        <tr r="L3" s="32"/>
      </tp>
      <tp t="e">
        <v>#N/A</v>
        <stp/>
        <stp>BDP|5976725060727159360</stp>
        <tr r="AJ166" s="29"/>
        <tr r="AJ166" s="29"/>
        <tr r="AJ166" s="29"/>
      </tp>
      <tp t="e">
        <v>#N/A</v>
        <stp/>
        <stp>BDP|4289708332209579990</stp>
        <tr r="AQ187" s="29"/>
        <tr r="AQ187" s="29"/>
      </tp>
      <tp t="e">
        <v>#N/A</v>
        <stp/>
        <stp>BDP|7761860348528211376</stp>
        <tr r="E164" s="29"/>
        <tr r="E164" s="29"/>
        <tr r="E164" s="29"/>
      </tp>
      <tp t="e">
        <v>#N/A</v>
        <stp/>
        <stp>BDP|4514539710518670833</stp>
        <tr r="W156" s="29"/>
        <tr r="W156" s="29"/>
      </tp>
      <tp t="e">
        <v>#N/A</v>
        <stp/>
        <stp>BDP|5661599422350746290</stp>
        <tr r="M165" s="29"/>
      </tp>
      <tp t="e">
        <v>#N/A</v>
        <stp/>
        <stp>BDP|7453974667048183034</stp>
        <tr r="M169" s="29"/>
      </tp>
      <tp t="e">
        <v>#N/A</v>
        <stp/>
        <stp>BDP|5939986254349529078</stp>
        <tr r="AW169" s="29"/>
      </tp>
      <tp t="e">
        <v>#N/A</v>
        <stp/>
        <stp>BDP|3308504956744805787</stp>
        <tr r="J157" s="29"/>
        <tr r="J157" s="29"/>
        <tr r="J157" s="29"/>
      </tp>
      <tp t="e">
        <v>#N/A</v>
        <stp/>
        <stp>BDP|9125332279989220518</stp>
        <tr r="M163" s="29"/>
      </tp>
      <tp t="e">
        <v>#N/A</v>
        <stp/>
        <stp>BDP|7874536076572237672</stp>
        <tr r="AH187" s="29"/>
        <tr r="AH187" s="29"/>
      </tp>
      <tp t="e">
        <v>#N/A</v>
        <stp/>
        <stp>BDP|9504705568309715033</stp>
        <tr r="AA167" s="29"/>
        <tr r="AA167" s="29"/>
        <tr r="AA167" s="29"/>
      </tp>
      <tp t="e">
        <v>#N/A</v>
        <stp/>
        <stp>BDP|5612384728790945561</stp>
        <tr r="W165" s="29"/>
        <tr r="W165" s="29"/>
        <tr r="W165" s="29"/>
      </tp>
      <tp t="e">
        <v>#N/A</v>
        <stp/>
        <stp>BDP|9629292084066550431</stp>
        <tr r="G166" s="29"/>
      </tp>
      <tp t="e">
        <v>#N/A</v>
        <stp/>
        <stp>BDP|1374602886719285755</stp>
        <tr r="AD157" s="29"/>
      </tp>
      <tp t="e">
        <v>#N/A</v>
        <stp/>
        <stp>BDP|1395737417021488713</stp>
        <tr r="Z168" s="29"/>
        <tr r="Z168" s="29"/>
        <tr r="Z168" s="29"/>
      </tp>
      <tp t="e">
        <v>#N/A</v>
        <stp/>
        <stp>BDP|1272315302206061530</stp>
        <tr r="AH157" s="29"/>
      </tp>
      <tp t="e">
        <v>#N/A</v>
        <stp/>
        <stp>BDP|2268763110717295265</stp>
        <tr r="AC155" s="29"/>
      </tp>
      <tp t="e">
        <v>#N/A</v>
        <stp/>
        <stp>BDP|2886207942763352693</stp>
        <tr r="M165" s="29"/>
      </tp>
      <tp t="e">
        <v>#N/A</v>
        <stp/>
        <stp>BDP|7540179731891446577</stp>
        <tr r="E134" s="29"/>
        <tr r="I134" s="29"/>
      </tp>
      <tp t="e">
        <v>#N/A</v>
        <stp/>
        <stp>BDP|7764851897687334009</stp>
        <tr r="I168" s="29"/>
        <tr r="I168" s="29"/>
        <tr r="I168" s="29"/>
      </tp>
      <tp t="e">
        <v>#N/A</v>
        <stp/>
        <stp>BDP|1999179581980805901</stp>
        <tr r="AW157" s="29"/>
      </tp>
      <tp t="e">
        <v>#N/A</v>
        <stp/>
        <stp>BDP|2222250027029838906</stp>
        <tr r="E169" s="29"/>
        <tr r="E169" s="29"/>
        <tr r="E169" s="29"/>
      </tp>
      <tp t="e">
        <v>#N/A</v>
        <stp/>
        <stp>BDP|2444985904498868192</stp>
        <tr r="E147" s="29"/>
      </tp>
      <tp t="e">
        <v>#N/A</v>
        <stp/>
        <stp>BDP|4622029911141236692</stp>
        <tr r="B156" s="29"/>
      </tp>
      <tp t="e">
        <v>#N/A</v>
        <stp/>
        <stp>BDP|6919358095606784839</stp>
        <tr r="AW167" s="29"/>
      </tp>
      <tp t="e">
        <v>#N/A</v>
        <stp/>
        <stp>BDP|4593503336895784564</stp>
        <tr r="M167" s="29"/>
      </tp>
      <tp t="e">
        <v>#N/A</v>
        <stp/>
        <stp>BDP|4334103773403961397</stp>
        <tr r="Z169" s="29"/>
        <tr r="Z169" s="29"/>
        <tr r="Z169" s="29"/>
      </tp>
      <tp t="e">
        <v>#N/A</v>
        <stp/>
        <stp>BDP|6707744636918036831</stp>
        <tr r="A169" s="29"/>
      </tp>
      <tp t="e">
        <v>#N/A</v>
        <stp/>
        <stp>BDP|7638557106853054336</stp>
        <tr r="AB157" s="29"/>
      </tp>
      <tp t="e">
        <v>#N/A</v>
        <stp/>
        <stp>BDP|3550315901170601243</stp>
        <tr r="J166" s="29"/>
        <tr r="J166" s="29"/>
        <tr r="J166" s="29"/>
      </tp>
      <tp t="e">
        <v>#N/A</v>
        <stp/>
        <stp>BDP|7703668109905977640</stp>
        <tr r="AL168" s="29"/>
        <tr r="AL168" s="29"/>
        <tr r="AL168" s="29"/>
      </tp>
      <tp t="e">
        <v>#N/A</v>
        <stp/>
        <stp>BDP|5089720036306656488</stp>
        <tr r="AA147" s="29"/>
        <tr r="AA147" s="29"/>
        <tr r="AA147" s="29"/>
      </tp>
      <tp t="e">
        <v>#N/A</v>
        <stp/>
        <stp>BDP|8926052339281886966</stp>
        <tr r="AG168" s="29"/>
        <tr r="AG168" s="29"/>
        <tr r="AG168" s="29"/>
      </tp>
      <tp t="e">
        <v>#N/A</v>
        <stp/>
        <stp>BDP|1221325579956215000</stp>
        <tr r="AI187" s="29"/>
        <tr r="AI187" s="29"/>
        <tr r="AI187" s="29"/>
      </tp>
      <tp t="e">
        <v>#N/A</v>
        <stp/>
        <stp>BDP|6147138412624176183</stp>
        <tr r="AB163" s="29"/>
        <tr r="AB163" s="29"/>
        <tr r="AB163" s="29"/>
      </tp>
      <tp t="e">
        <v>#N/A</v>
        <stp/>
        <stp>BDP|1993576446837671405</stp>
        <tr r="U148" s="29"/>
      </tp>
      <tp t="e">
        <v>#N/A</v>
        <stp/>
        <stp>BDP|8550181870508182537</stp>
        <tr r="J156" s="29"/>
        <tr r="J156" s="29"/>
        <tr r="J156" s="29"/>
      </tp>
      <tp t="e">
        <v>#N/A</v>
        <stp/>
        <stp>BDP|3547984087693129292</stp>
        <tr r="J164" s="29"/>
        <tr r="J164" s="29"/>
        <tr r="J164" s="29"/>
      </tp>
      <tp t="e">
        <v>#N/A</v>
        <stp/>
        <stp>BDP|4245944054688077317</stp>
        <tr r="AE147" s="29"/>
      </tp>
      <tp t="e">
        <v>#N/A</v>
        <stp/>
        <stp>BDP|9020525911739176727</stp>
        <tr r="AA168" s="29"/>
        <tr r="AA168" s="29"/>
        <tr r="AA168" s="29"/>
      </tp>
      <tp t="e">
        <v>#N/A</v>
        <stp/>
        <stp>BDP|6504096218211289574</stp>
        <tr r="B213" s="29"/>
      </tp>
      <tp t="e">
        <v>#N/A</v>
        <stp/>
        <stp>BDP|8220812423798422954</stp>
        <tr r="AI163" s="29"/>
        <tr r="AI163" s="29"/>
        <tr r="AI163" s="29"/>
      </tp>
      <tp t="e">
        <v>#N/A</v>
        <stp/>
        <stp>BDP|6975334570765351484</stp>
        <tr r="X163" s="29"/>
        <tr r="X163" s="29"/>
        <tr r="X163" s="29"/>
      </tp>
      <tp t="e">
        <v>#N/A</v>
        <stp/>
        <stp>BDP|1774090678265880098</stp>
        <tr r="AC168" s="29"/>
        <tr r="AC168" s="29"/>
        <tr r="AC168" s="29"/>
      </tp>
      <tp t="e">
        <v>#N/A</v>
        <stp/>
        <stp>BDP|4210617563540678734</stp>
        <tr r="AJ156" s="29"/>
      </tp>
      <tp t="e">
        <v>#N/A</v>
        <stp/>
        <stp>BDP|95999336334672119</stp>
        <tr r="AN155" s="29"/>
        <tr r="AN155" s="29"/>
        <tr r="AN155" s="29"/>
        <tr r="D155" s="29"/>
        <tr r="D155" s="29"/>
        <tr r="D155" s="29"/>
      </tp>
      <tp t="e">
        <v>#N/A</v>
        <stp/>
        <stp>BDP|935440755692851614</stp>
        <tr r="E148" s="29"/>
      </tp>
      <tp t="e">
        <v>#N/A</v>
        <stp/>
        <stp>BDP|249235949027418529</stp>
        <tr r="B164" s="29"/>
      </tp>
      <tp t="e">
        <v>#N/A</v>
        <stp/>
        <stp>BDP|762461905673401349</stp>
        <tr r="AE166" s="29"/>
        <tr r="AE166" s="29"/>
        <tr r="AE166" s="29"/>
      </tp>
      <tp t="e">
        <v>#N/A</v>
        <stp/>
        <stp>BDP|133881022888830651</stp>
        <tr r="AP187" s="29"/>
        <tr r="AP187" s="29"/>
        <tr r="AP187" s="29"/>
      </tp>
      <tp t="e">
        <v>#N/A</v>
        <stp/>
        <stp>BDP|404930868029733006</stp>
        <tr r="AE157" s="29"/>
        <tr r="AE157" s="29"/>
        <tr r="AE157" s="29"/>
      </tp>
      <tp t="e">
        <v>#N/A</v>
        <stp/>
        <stp>BDP|167769659900101334</stp>
        <tr r="Z165" s="29"/>
        <tr r="Z165" s="29"/>
        <tr r="Z165" s="29"/>
      </tp>
      <tp t="e">
        <v>#N/A</v>
        <stp/>
        <stp>BDP|230515705752175678</stp>
        <tr r="AH156" s="29"/>
      </tp>
      <tp t="e">
        <v>#N/A</v>
        <stp/>
        <stp>BDP|185629107202500438</stp>
        <tr r="D148" s="29"/>
        <tr r="D148" s="29"/>
      </tp>
      <tp t="e">
        <v>#N/A</v>
        <stp/>
        <stp>BDP|160168325756960666</stp>
        <tr r="H165" s="29"/>
      </tp>
      <tp t="e">
        <v>#N/A</v>
        <stp/>
        <stp>BDP|878802630300119866</stp>
        <tr r="AC148" s="29"/>
        <tr r="AC148" s="29"/>
      </tp>
      <tp t="e">
        <v>#N/A</v>
        <stp/>
        <stp>BDP|229334726796249467</stp>
        <tr r="M157" s="29"/>
      </tp>
      <tp t="e">
        <v>#N/A</v>
        <stp/>
        <stp>BDP|979262302490093012</stp>
        <tr r="M149" s="29"/>
      </tp>
      <tp t="e">
        <v>#N/A</v>
        <stp/>
        <stp>BDP|515397879481912791</stp>
        <tr r="AB156" s="29"/>
      </tp>
      <tp t="e">
        <v>#N/A</v>
        <stp/>
        <stp>BDP|778238147271672543</stp>
        <tr r="O155" s="29"/>
        <tr r="N155" s="29"/>
        <tr r="W13" s="29"/>
        <tr r="N136" s="29"/>
        <tr r="P136" s="29"/>
      </tp>
      <tp t="e">
        <v>#N/A</v>
        <stp/>
        <stp>BDP|374584281559935958</stp>
        <tr r="A148" s="29"/>
      </tp>
      <tp t="e">
        <v>#N/A</v>
        <stp/>
        <stp>BDP|290808324094583160</stp>
        <tr r="A155" s="29"/>
      </tp>
      <tp t="e">
        <v>#N/A</v>
        <stp/>
        <stp>BDP|895565572792481941</stp>
        <tr r="AB167" s="29"/>
        <tr r="AB167" s="29"/>
        <tr r="AB167" s="29"/>
      </tp>
      <tp t="e">
        <v>#N/A</v>
        <stp/>
        <stp>BDP|414276518079212315</stp>
        <tr r="N134" s="29"/>
        <tr r="P134" s="29"/>
        <tr r="W11" s="29"/>
      </tp>
      <tp t="e">
        <v>#N/A</v>
        <stp/>
        <stp>BDP|979798591844416360</stp>
        <tr r="D165" s="29"/>
        <tr r="D165" s="29"/>
        <tr r="D165" s="29"/>
      </tp>
      <tp t="e">
        <v>#N/A</v>
        <stp/>
        <stp>BDP|910404517459387759</stp>
        <tr r="AC164" s="29"/>
        <tr r="AC164" s="29"/>
        <tr r="AC164" s="29"/>
      </tp>
      <tp t="e">
        <v>#N/A</v>
        <stp/>
        <stp>BDP|535482574041922905</stp>
        <tr r="AF155" s="29"/>
      </tp>
      <tp t="e">
        <v>#N/A</v>
        <stp/>
        <stp>BDP|526742628496348917</stp>
        <tr r="H168" s="29"/>
      </tp>
      <tp t="e">
        <v>#N/A</v>
        <stp/>
        <stp>BDP|985712508999751473</stp>
        <tr r="AL167" s="29"/>
        <tr r="AL167" s="29"/>
        <tr r="AL167" s="29"/>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volatileDependencies" Target="volatileDependenci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73010644764569E-2"/>
          <c:y val="0.17771296347030038"/>
          <c:w val="0.89089545135403858"/>
          <c:h val="0.56725733940929146"/>
        </c:manualLayout>
      </c:layout>
      <c:barChart>
        <c:barDir val="col"/>
        <c:grouping val="clustered"/>
        <c:varyColors val="0"/>
        <c:ser>
          <c:idx val="0"/>
          <c:order val="0"/>
          <c:tx>
            <c:strRef>
              <c:f>'Current Asset Allocation'!$AF$7</c:f>
              <c:strCache>
                <c:ptCount val="1"/>
                <c:pt idx="0">
                  <c:v>% </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'Current Asset Allocation'!$AE$8:$AE$18</c:f>
              <c:strCache>
                <c:ptCount val="11"/>
                <c:pt idx="0">
                  <c:v>Energy</c:v>
                </c:pt>
                <c:pt idx="1">
                  <c:v>Materials</c:v>
                </c:pt>
                <c:pt idx="2">
                  <c:v>Industrials</c:v>
                </c:pt>
                <c:pt idx="3">
                  <c:v>Consumer Discretionary</c:v>
                </c:pt>
                <c:pt idx="4">
                  <c:v>Consumer Staples</c:v>
                </c:pt>
                <c:pt idx="5">
                  <c:v>Health Care</c:v>
                </c:pt>
                <c:pt idx="6">
                  <c:v>Financials</c:v>
                </c:pt>
                <c:pt idx="7">
                  <c:v>Information Technology</c:v>
                </c:pt>
                <c:pt idx="8">
                  <c:v>Communication Services</c:v>
                </c:pt>
                <c:pt idx="9">
                  <c:v>Utilities</c:v>
                </c:pt>
                <c:pt idx="10">
                  <c:v>Real Estate</c:v>
                </c:pt>
              </c:strCache>
            </c:strRef>
          </c:cat>
          <c:val>
            <c:numRef>
              <c:f>'Current Asset Allocation'!$AF$8:$AF$18</c:f>
              <c:numCache>
                <c:formatCode>0.0%;\(0.0%\);\-\ ;@</c:formatCode>
                <c:ptCount val="11"/>
                <c:pt idx="0">
                  <c:v>0</c:v>
                </c:pt>
                <c:pt idx="1">
                  <c:v>1</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2A7B-4FAC-B226-85128F1C899D}"/>
            </c:ext>
          </c:extLst>
        </c:ser>
        <c:dLbls>
          <c:dLblPos val="outEnd"/>
          <c:showLegendKey val="0"/>
          <c:showVal val="1"/>
          <c:showCatName val="0"/>
          <c:showSerName val="0"/>
          <c:showPercent val="0"/>
          <c:showBubbleSize val="0"/>
        </c:dLbls>
        <c:gapWidth val="219"/>
        <c:overlap val="-27"/>
        <c:axId val="2118968696"/>
        <c:axId val="2118967384"/>
      </c:barChart>
      <c:catAx>
        <c:axId val="211896869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crossAx val="2118967384"/>
        <c:crosses val="autoZero"/>
        <c:auto val="1"/>
        <c:lblAlgn val="ctr"/>
        <c:lblOffset val="100"/>
        <c:noMultiLvlLbl val="0"/>
      </c:catAx>
      <c:valAx>
        <c:axId val="2118967384"/>
        <c:scaling>
          <c:orientation val="minMax"/>
        </c:scaling>
        <c:delete val="0"/>
        <c:axPos val="l"/>
        <c:numFmt formatCode="0.0%;\(0.0%\);\-\ ;@"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crossAx val="21189686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b="1">
          <a:solidFill>
            <a:schemeClr val="tx1"/>
          </a:solidFill>
          <a:latin typeface="+mn-lt"/>
          <a:ea typeface="Roboto Light" panose="02000000000000000000" pitchFamily="2" charset="0"/>
          <a:cs typeface="Roboto Light" panose="020000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Roboto Light" panose="02000000000000000000" pitchFamily="2" charset="0"/>
                <a:cs typeface="Roboto Light" panose="02000000000000000000" pitchFamily="2" charset="0"/>
              </a:defRPr>
            </a:pPr>
            <a:r>
              <a:rPr lang="en-US" sz="1800"/>
              <a:t>Portfolio Asset Allocation</a:t>
            </a:r>
          </a:p>
        </c:rich>
      </c:tx>
      <c:layout>
        <c:manualLayout>
          <c:xMode val="edge"/>
          <c:yMode val="edge"/>
          <c:x val="0.28234405775163435"/>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Roboto Light" panose="02000000000000000000" pitchFamily="2" charset="0"/>
              <a:cs typeface="Roboto Light" panose="02000000000000000000" pitchFamily="2" charset="0"/>
            </a:defRPr>
          </a:pPr>
          <a:endParaRPr lang="en-US"/>
        </a:p>
      </c:txPr>
    </c:title>
    <c:autoTitleDeleted val="0"/>
    <c:plotArea>
      <c:layout>
        <c:manualLayout>
          <c:layoutTarget val="inner"/>
          <c:xMode val="edge"/>
          <c:yMode val="edge"/>
          <c:x val="0.20872657204969608"/>
          <c:y val="0.20458738249427319"/>
          <c:w val="0.34202359661777731"/>
          <c:h val="0.76537026473371073"/>
        </c:manualLayout>
      </c:layout>
      <c:pieChart>
        <c:varyColors val="1"/>
        <c:ser>
          <c:idx val="0"/>
          <c:order val="0"/>
          <c:tx>
            <c:strRef>
              <c:f>'Current Asset Allocation'!$AJ$7</c:f>
              <c:strCache>
                <c:ptCount val="1"/>
                <c:pt idx="0">
                  <c:v>% of Gross Assets</c:v>
                </c:pt>
              </c:strCache>
            </c:strRef>
          </c:tx>
          <c:spPr>
            <a:solidFill>
              <a:srgbClr val="002060"/>
            </a:solidFill>
          </c:spPr>
          <c:dPt>
            <c:idx val="0"/>
            <c:bubble3D val="0"/>
            <c:spPr>
              <a:solidFill>
                <a:schemeClr val="bg2">
                  <a:lumMod val="90000"/>
                </a:schemeClr>
              </a:solidFill>
              <a:ln>
                <a:noFill/>
              </a:ln>
              <a:effectLst/>
            </c:spPr>
            <c:extLst>
              <c:ext xmlns:c16="http://schemas.microsoft.com/office/drawing/2014/chart" uri="{C3380CC4-5D6E-409C-BE32-E72D297353CC}">
                <c16:uniqueId val="{00000002-FED9-437C-99A9-37078B19E8E5}"/>
              </c:ext>
            </c:extLst>
          </c:dPt>
          <c:dPt>
            <c:idx val="1"/>
            <c:bubble3D val="0"/>
            <c:spPr>
              <a:solidFill>
                <a:schemeClr val="accent2">
                  <a:lumMod val="20000"/>
                  <a:lumOff val="80000"/>
                </a:schemeClr>
              </a:solidFill>
              <a:ln>
                <a:noFill/>
              </a:ln>
              <a:effectLst/>
            </c:spPr>
            <c:extLst>
              <c:ext xmlns:c16="http://schemas.microsoft.com/office/drawing/2014/chart" uri="{C3380CC4-5D6E-409C-BE32-E72D297353CC}">
                <c16:uniqueId val="{00000000-FED9-437C-99A9-37078B19E8E5}"/>
              </c:ext>
            </c:extLst>
          </c:dPt>
          <c:dPt>
            <c:idx val="2"/>
            <c:bubble3D val="0"/>
            <c:spPr>
              <a:solidFill>
                <a:schemeClr val="tx2">
                  <a:lumMod val="10000"/>
                  <a:lumOff val="90000"/>
                </a:schemeClr>
              </a:solidFill>
              <a:ln>
                <a:noFill/>
              </a:ln>
              <a:effectLst/>
            </c:spPr>
            <c:extLst>
              <c:ext xmlns:c16="http://schemas.microsoft.com/office/drawing/2014/chart" uri="{C3380CC4-5D6E-409C-BE32-E72D297353CC}">
                <c16:uniqueId val="{00000001-FED9-437C-99A9-37078B19E8E5}"/>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3-FED9-437C-99A9-37078B19E8E5}"/>
              </c:ext>
            </c:extLst>
          </c:dPt>
          <c:dLbls>
            <c:dLbl>
              <c:idx val="3"/>
              <c:layout>
                <c:manualLayout>
                  <c:x val="-5.1001831246854215E-2"/>
                  <c:y val="1.63043408488784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D9-437C-99A9-37078B19E8E5}"/>
                </c:ext>
              </c:extLst>
            </c:dLbl>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'Current Asset Allocation'!$AI$8:$AI$11</c:f>
              <c:strCache>
                <c:ptCount val="4"/>
                <c:pt idx="0">
                  <c:v>Cash</c:v>
                </c:pt>
                <c:pt idx="1">
                  <c:v>Fixed Income</c:v>
                </c:pt>
                <c:pt idx="2">
                  <c:v>Equity</c:v>
                </c:pt>
                <c:pt idx="3">
                  <c:v>Alternatives</c:v>
                </c:pt>
              </c:strCache>
            </c:strRef>
          </c:cat>
          <c:val>
            <c:numRef>
              <c:f>'Current Asset Allocation'!$AJ$8:$AJ$11</c:f>
              <c:numCache>
                <c:formatCode>0.0%</c:formatCode>
                <c:ptCount val="4"/>
                <c:pt idx="0">
                  <c:v>0</c:v>
                </c:pt>
                <c:pt idx="1">
                  <c:v>0</c:v>
                </c:pt>
                <c:pt idx="2">
                  <c:v>0</c:v>
                </c:pt>
                <c:pt idx="3">
                  <c:v>0</c:v>
                </c:pt>
              </c:numCache>
            </c:numRef>
          </c:val>
          <c:extLst>
            <c:ext xmlns:c16="http://schemas.microsoft.com/office/drawing/2014/chart" uri="{C3380CC4-5D6E-409C-BE32-E72D297353CC}">
              <c16:uniqueId val="{00000000-DB0B-4B4D-8C4D-DB252E331C88}"/>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9545308504331749"/>
          <c:y val="0.37251666122379862"/>
          <c:w val="0.28791489469442921"/>
          <c:h val="0.381049143050667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b="1">
          <a:solidFill>
            <a:schemeClr val="tx1"/>
          </a:solidFill>
          <a:latin typeface="+mn-lt"/>
          <a:ea typeface="Roboto Light" panose="02000000000000000000" pitchFamily="2" charset="0"/>
          <a:cs typeface="Roboto Light" panose="020000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Maturity Profile</a:t>
            </a:r>
          </a:p>
        </c:rich>
      </c:tx>
      <c:overlay val="0"/>
      <c:spPr>
        <a:noFill/>
        <a:ln>
          <a:noFill/>
        </a:ln>
        <a:effectLst/>
      </c:spPr>
    </c:title>
    <c:autoTitleDeleted val="0"/>
    <c:plotArea>
      <c:layout/>
      <c:barChart>
        <c:barDir val="col"/>
        <c:grouping val="clustered"/>
        <c:varyColors val="0"/>
        <c:ser>
          <c:idx val="0"/>
          <c:order val="0"/>
          <c:tx>
            <c:strRef>
              <c:f>'Bond Graph Data Sheet'!$F$34</c:f>
              <c:strCache>
                <c:ptCount val="1"/>
                <c:pt idx="0">
                  <c:v>Weight</c:v>
                </c:pt>
              </c:strCache>
            </c:strRef>
          </c:tx>
          <c:spPr>
            <a:solidFill>
              <a:srgbClr val="00206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'Bond Graph Data Sheet'!$E$35:$E$40</c:f>
              <c:strCache>
                <c:ptCount val="6"/>
                <c:pt idx="0">
                  <c:v>0-1.5</c:v>
                </c:pt>
                <c:pt idx="1">
                  <c:v>1.5-4</c:v>
                </c:pt>
                <c:pt idx="2">
                  <c:v>4-7</c:v>
                </c:pt>
                <c:pt idx="3">
                  <c:v>7-15</c:v>
                </c:pt>
                <c:pt idx="4">
                  <c:v>15+</c:v>
                </c:pt>
                <c:pt idx="5">
                  <c:v>Perpetual</c:v>
                </c:pt>
              </c:strCache>
            </c:strRef>
          </c:cat>
          <c:val>
            <c:numRef>
              <c:f>'Bond Graph Data Sheet'!$F$35:$F$40</c:f>
              <c:numCache>
                <c:formatCode>0.0%;\(0.0%\);\-\ ;@</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5D4E-4F48-AE8C-0EAC1D39F5FE}"/>
            </c:ext>
          </c:extLst>
        </c:ser>
        <c:dLbls>
          <c:showLegendKey val="0"/>
          <c:showVal val="1"/>
          <c:showCatName val="0"/>
          <c:showSerName val="0"/>
          <c:showPercent val="0"/>
          <c:showBubbleSize val="0"/>
        </c:dLbls>
        <c:gapWidth val="219"/>
        <c:overlap val="-27"/>
        <c:axId val="2103066607"/>
        <c:axId val="875943807"/>
      </c:barChart>
      <c:catAx>
        <c:axId val="2103066607"/>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vert="horz"/>
          <a:lstStyle/>
          <a:p>
            <a:pPr>
              <a:defRPr/>
            </a:pPr>
            <a:endParaRPr lang="en-US"/>
          </a:p>
        </c:txPr>
        <c:crossAx val="875943807"/>
        <c:crosses val="autoZero"/>
        <c:auto val="1"/>
        <c:lblAlgn val="ctr"/>
        <c:lblOffset val="100"/>
        <c:noMultiLvlLbl val="0"/>
      </c:catAx>
      <c:valAx>
        <c:axId val="875943807"/>
        <c:scaling>
          <c:orientation val="minMax"/>
        </c:scaling>
        <c:delete val="0"/>
        <c:axPos val="l"/>
        <c:numFmt formatCode="0.0%;\(0.0%\);\-\ ;@" sourceLinked="1"/>
        <c:majorTickMark val="out"/>
        <c:minorTickMark val="none"/>
        <c:tickLblPos val="nextTo"/>
        <c:spPr>
          <a:noFill/>
          <a:ln>
            <a:solidFill>
              <a:schemeClr val="tx1"/>
            </a:solidFill>
          </a:ln>
          <a:effectLst/>
        </c:spPr>
        <c:txPr>
          <a:bodyPr rot="-60000000" vert="horz"/>
          <a:lstStyle/>
          <a:p>
            <a:pPr>
              <a:defRPr/>
            </a:pPr>
            <a:endParaRPr lang="en-US"/>
          </a:p>
        </c:txPr>
        <c:crossAx val="2103066607"/>
        <c:crosses val="autoZero"/>
        <c:crossBetween val="between"/>
      </c:valAx>
    </c:plotArea>
    <c:plotVisOnly val="1"/>
    <c:dispBlanksAs val="gap"/>
    <c:showDLblsOverMax val="0"/>
  </c:chart>
  <c:spPr>
    <a:noFill/>
    <a:ln w="9525" cap="flat" cmpd="sng" algn="ctr">
      <a:noFill/>
      <a:round/>
    </a:ln>
    <a:effectLst/>
  </c:spPr>
  <c:txPr>
    <a:bodyPr/>
    <a:lstStyle/>
    <a:p>
      <a:pPr>
        <a:defRPr b="1">
          <a:latin typeface="+mn-lt"/>
          <a:ea typeface="Roboto Light" panose="02000000000000000000" pitchFamily="2" charset="0"/>
          <a:cs typeface="Roboto Light" panose="020000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Credit Rating</a:t>
            </a:r>
          </a:p>
        </c:rich>
      </c:tx>
      <c:layout>
        <c:manualLayout>
          <c:xMode val="edge"/>
          <c:yMode val="edge"/>
          <c:x val="0.38599816268223525"/>
          <c:y val="2.1587304285377362E-2"/>
        </c:manualLayout>
      </c:layout>
      <c:overlay val="0"/>
      <c:spPr>
        <a:noFill/>
        <a:ln>
          <a:noFill/>
        </a:ln>
        <a:effectLst/>
      </c:spPr>
    </c:title>
    <c:autoTitleDeleted val="0"/>
    <c:plotArea>
      <c:layout/>
      <c:barChart>
        <c:barDir val="col"/>
        <c:grouping val="clustered"/>
        <c:varyColors val="0"/>
        <c:ser>
          <c:idx val="0"/>
          <c:order val="0"/>
          <c:tx>
            <c:strRef>
              <c:f>'Bond Graph Data Sheet'!$C$50</c:f>
              <c:strCache>
                <c:ptCount val="1"/>
              </c:strCache>
            </c:strRef>
          </c:tx>
          <c:spPr>
            <a:solidFill>
              <a:srgbClr val="002060"/>
            </a:solidFill>
          </c:spPr>
          <c:invertIfNegative val="0"/>
          <c:dLbls>
            <c:dLbl>
              <c:idx val="1"/>
              <c:layout>
                <c:manualLayout>
                  <c:x val="0"/>
                  <c:y val="-5.762712377126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07-4F81-A71A-F4F67BA820B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'Bond Graph Data Sheet'!$A$51:$A$68</c:f>
              <c:strCache>
                <c:ptCount val="18"/>
                <c:pt idx="0">
                  <c:v>A+</c:v>
                </c:pt>
                <c:pt idx="1">
                  <c:v>A</c:v>
                </c:pt>
                <c:pt idx="2">
                  <c:v>A-</c:v>
                </c:pt>
                <c:pt idx="3">
                  <c:v>BBB+</c:v>
                </c:pt>
                <c:pt idx="4">
                  <c:v>BBB</c:v>
                </c:pt>
                <c:pt idx="5">
                  <c:v>BBB-</c:v>
                </c:pt>
                <c:pt idx="6">
                  <c:v>BB+</c:v>
                </c:pt>
                <c:pt idx="7">
                  <c:v>BB</c:v>
                </c:pt>
                <c:pt idx="8">
                  <c:v>BB-</c:v>
                </c:pt>
                <c:pt idx="9">
                  <c:v>B+</c:v>
                </c:pt>
                <c:pt idx="10">
                  <c:v>B</c:v>
                </c:pt>
                <c:pt idx="11">
                  <c:v>B-</c:v>
                </c:pt>
                <c:pt idx="12">
                  <c:v>CCC+</c:v>
                </c:pt>
                <c:pt idx="13">
                  <c:v>CCC</c:v>
                </c:pt>
                <c:pt idx="14">
                  <c:v>CCC-</c:v>
                </c:pt>
                <c:pt idx="15">
                  <c:v>CC</c:v>
                </c:pt>
                <c:pt idx="16">
                  <c:v>C</c:v>
                </c:pt>
                <c:pt idx="17">
                  <c:v>below C</c:v>
                </c:pt>
              </c:strCache>
            </c:strRef>
          </c:cat>
          <c:val>
            <c:numRef>
              <c:f>'Bond Graph Data Sheet'!$C$51:$C$68</c:f>
              <c:numCache>
                <c:formatCode>0.0%;\(0.0%\);\-\ ;@</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2707-4F81-A71A-F4F67BA820BB}"/>
            </c:ext>
          </c:extLst>
        </c:ser>
        <c:dLbls>
          <c:showLegendKey val="0"/>
          <c:showVal val="1"/>
          <c:showCatName val="0"/>
          <c:showSerName val="0"/>
          <c:showPercent val="0"/>
          <c:showBubbleSize val="0"/>
        </c:dLbls>
        <c:gapWidth val="219"/>
        <c:overlap val="-27"/>
        <c:axId val="94900343"/>
        <c:axId val="94893455"/>
      </c:barChart>
      <c:catAx>
        <c:axId val="94900343"/>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vert="horz"/>
          <a:lstStyle/>
          <a:p>
            <a:pPr>
              <a:defRPr/>
            </a:pPr>
            <a:endParaRPr lang="en-US"/>
          </a:p>
        </c:txPr>
        <c:crossAx val="94893455"/>
        <c:crosses val="autoZero"/>
        <c:auto val="1"/>
        <c:lblAlgn val="ctr"/>
        <c:lblOffset val="100"/>
        <c:noMultiLvlLbl val="0"/>
      </c:catAx>
      <c:valAx>
        <c:axId val="94893455"/>
        <c:scaling>
          <c:orientation val="minMax"/>
        </c:scaling>
        <c:delete val="0"/>
        <c:axPos val="l"/>
        <c:numFmt formatCode="0.0%;\(0.0%\);\-\ ;@" sourceLinked="1"/>
        <c:majorTickMark val="out"/>
        <c:minorTickMark val="none"/>
        <c:tickLblPos val="nextTo"/>
        <c:spPr>
          <a:noFill/>
          <a:ln>
            <a:solidFill>
              <a:schemeClr val="tx1"/>
            </a:solidFill>
          </a:ln>
          <a:effectLst/>
        </c:spPr>
        <c:txPr>
          <a:bodyPr rot="-60000000" vert="horz"/>
          <a:lstStyle/>
          <a:p>
            <a:pPr>
              <a:defRPr/>
            </a:pPr>
            <a:endParaRPr lang="en-US"/>
          </a:p>
        </c:txPr>
        <c:crossAx val="94900343"/>
        <c:crosses val="autoZero"/>
        <c:crossBetween val="between"/>
      </c:valAx>
    </c:plotArea>
    <c:plotVisOnly val="1"/>
    <c:dispBlanksAs val="gap"/>
    <c:showDLblsOverMax val="0"/>
  </c:chart>
  <c:spPr>
    <a:noFill/>
    <a:ln w="9525" cap="flat" cmpd="sng" algn="ctr">
      <a:noFill/>
      <a:round/>
    </a:ln>
    <a:effectLst/>
  </c:spPr>
  <c:txPr>
    <a:bodyPr/>
    <a:lstStyle/>
    <a:p>
      <a:pPr>
        <a:defRPr b="1">
          <a:latin typeface="+mn-lt"/>
          <a:ea typeface="Roboto Light" panose="02000000000000000000" pitchFamily="2" charset="0"/>
          <a:cs typeface="Roboto Light" panose="020000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Roboto Light" panose="02000000000000000000" pitchFamily="2" charset="0"/>
                <a:cs typeface="Roboto Light" panose="02000000000000000000" pitchFamily="2" charset="0"/>
              </a:defRPr>
            </a:pPr>
            <a:r>
              <a:rPr lang="en-US" sz="1800"/>
              <a:t>Country Exposure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Roboto Light" panose="02000000000000000000" pitchFamily="2" charset="0"/>
              <a:cs typeface="Roboto Light" panose="02000000000000000000" pitchFamily="2" charset="0"/>
            </a:defRPr>
          </a:pPr>
          <a:endParaRPr lang="en-US"/>
        </a:p>
      </c:txPr>
    </c:title>
    <c:autoTitleDeleted val="0"/>
    <c:plotArea>
      <c:layout/>
      <c:barChart>
        <c:barDir val="col"/>
        <c:grouping val="clustered"/>
        <c:varyColors val="0"/>
        <c:ser>
          <c:idx val="0"/>
          <c:order val="0"/>
          <c:tx>
            <c:strRef>
              <c:f>'Bond Graph Data Sheet'!$B$74</c:f>
              <c:strCache>
                <c:ptCount val="1"/>
                <c:pt idx="0">
                  <c:v>Exposure</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'Bond Graph Data Sheet'!$A$75:$A$93</c:f>
              <c:strCache>
                <c:ptCount val="19"/>
                <c:pt idx="0">
                  <c:v>India</c:v>
                </c:pt>
                <c:pt idx="1">
                  <c:v>Ireland</c:v>
                </c:pt>
                <c:pt idx="2">
                  <c:v>UAE</c:v>
                </c:pt>
                <c:pt idx="3">
                  <c:v>Brazil</c:v>
                </c:pt>
                <c:pt idx="4">
                  <c:v>Saudi Arabia</c:v>
                </c:pt>
                <c:pt idx="5">
                  <c:v>Romania</c:v>
                </c:pt>
                <c:pt idx="6">
                  <c:v>Germany</c:v>
                </c:pt>
                <c:pt idx="7">
                  <c:v>Colombia</c:v>
                </c:pt>
                <c:pt idx="8">
                  <c:v>United Kingdom</c:v>
                </c:pt>
                <c:pt idx="9">
                  <c:v>Hungary</c:v>
                </c:pt>
                <c:pt idx="10">
                  <c:v>Australia</c:v>
                </c:pt>
                <c:pt idx="11">
                  <c:v>Austria</c:v>
                </c:pt>
                <c:pt idx="12">
                  <c:v>South Africa</c:v>
                </c:pt>
                <c:pt idx="13">
                  <c:v>France</c:v>
                </c:pt>
                <c:pt idx="14">
                  <c:v>Switzerland</c:v>
                </c:pt>
                <c:pt idx="15">
                  <c:v>Panama</c:v>
                </c:pt>
                <c:pt idx="16">
                  <c:v>Qatar</c:v>
                </c:pt>
                <c:pt idx="17">
                  <c:v>Netherlands</c:v>
                </c:pt>
                <c:pt idx="18">
                  <c:v>United States</c:v>
                </c:pt>
              </c:strCache>
            </c:strRef>
          </c:cat>
          <c:val>
            <c:numRef>
              <c:f>'Bond Graph Data Sheet'!$B$75:$B$93</c:f>
              <c:numCache>
                <c:formatCode>0.0%;\(0.0%\);\-\ ;@</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0-4CE0-4FE3-B2D2-25CF5764761B}"/>
            </c:ext>
          </c:extLst>
        </c:ser>
        <c:dLbls>
          <c:dLblPos val="outEnd"/>
          <c:showLegendKey val="0"/>
          <c:showVal val="1"/>
          <c:showCatName val="0"/>
          <c:showSerName val="0"/>
          <c:showPercent val="0"/>
          <c:showBubbleSize val="0"/>
        </c:dLbls>
        <c:gapWidth val="219"/>
        <c:overlap val="-27"/>
        <c:axId val="2118968696"/>
        <c:axId val="2118967384"/>
      </c:barChart>
      <c:catAx>
        <c:axId val="211896869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crossAx val="2118967384"/>
        <c:crosses val="autoZero"/>
        <c:auto val="1"/>
        <c:lblAlgn val="ctr"/>
        <c:lblOffset val="100"/>
        <c:noMultiLvlLbl val="0"/>
      </c:catAx>
      <c:valAx>
        <c:axId val="2118967384"/>
        <c:scaling>
          <c:orientation val="minMax"/>
        </c:scaling>
        <c:delete val="0"/>
        <c:axPos val="l"/>
        <c:numFmt formatCode="0.0%;\(0.0%\);\-\ ;@"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crossAx val="21189686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b="1">
          <a:solidFill>
            <a:schemeClr val="tx1"/>
          </a:solidFill>
          <a:latin typeface="+mn-lt"/>
          <a:ea typeface="Roboto Light" panose="02000000000000000000" pitchFamily="2" charset="0"/>
          <a:cs typeface="Roboto Light" panose="020000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solidFill>
                <a:latin typeface="Roboto Light" panose="02000000000000000000" pitchFamily="2" charset="0"/>
                <a:ea typeface="Roboto Light" panose="02000000000000000000" pitchFamily="2" charset="0"/>
                <a:cs typeface="Roboto Light" panose="02000000000000000000" pitchFamily="2" charset="0"/>
              </a:defRPr>
            </a:pPr>
            <a:r>
              <a:rPr lang="en-US" sz="1800" b="1">
                <a:latin typeface="+mn-lt"/>
                <a:ea typeface="Roboto Light" panose="02000000000000000000" pitchFamily="2" charset="0"/>
                <a:cs typeface="Roboto Light" panose="02000000000000000000" pitchFamily="2" charset="0"/>
              </a:rPr>
              <a:t>Industry</a:t>
            </a:r>
            <a:r>
              <a:rPr lang="en-US" sz="1500" b="1"/>
              <a:t> Exposure</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title>
    <c:autoTitleDeleted val="0"/>
    <c:plotArea>
      <c:layout/>
      <c:pieChart>
        <c:varyColors val="1"/>
        <c:ser>
          <c:idx val="0"/>
          <c:order val="0"/>
          <c:tx>
            <c:strRef>
              <c:f>'Bond Graph Data Sheet'!$B$101</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3D-49AF-A1BB-CC91BFE249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3D-49AF-A1BB-CC91BFE24976}"/>
              </c:ext>
            </c:extLst>
          </c:dPt>
          <c:dLbls>
            <c:dLbl>
              <c:idx val="0"/>
              <c:layout>
                <c:manualLayout>
                  <c:x val="-3.0998986987728892E-3"/>
                  <c:y val="1.90782970310529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3D-49AF-A1BB-CC91BFE24976}"/>
                </c:ext>
              </c:extLst>
            </c:dLbl>
            <c:dLbl>
              <c:idx val="1"/>
              <c:layout>
                <c:manualLayout>
                  <c:x val="1.1365993261397932E-2"/>
                  <c:y val="-0.19260272642920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3D-49AF-A1BB-CC91BFE24976}"/>
                </c:ext>
              </c:extLst>
            </c:dLbl>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'Bond Graph Data Sheet'!$A$102:$A$103</c:f>
              <c:strCache>
                <c:ptCount val="2"/>
                <c:pt idx="0">
                  <c:v>Government</c:v>
                </c:pt>
                <c:pt idx="1">
                  <c:v>Financial</c:v>
                </c:pt>
              </c:strCache>
            </c:strRef>
          </c:cat>
          <c:val>
            <c:numRef>
              <c:f>'Bond Graph Data Sheet'!$B$102:$B$103</c:f>
              <c:numCache>
                <c:formatCode>0.0%;\(0.0%\);\-\ ;@</c:formatCode>
                <c:ptCount val="2"/>
                <c:pt idx="0">
                  <c:v>0</c:v>
                </c:pt>
                <c:pt idx="1">
                  <c:v>0</c:v>
                </c:pt>
              </c:numCache>
            </c:numRef>
          </c:val>
          <c:extLst>
            <c:ext xmlns:c16="http://schemas.microsoft.com/office/drawing/2014/chart" uri="{C3380CC4-5D6E-409C-BE32-E72D297353CC}">
              <c16:uniqueId val="{00000004-843D-49AF-A1BB-CC91BFE24976}"/>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5944534041678526"/>
          <c:y val="0.22737050245400939"/>
          <c:w val="0.18275241846186341"/>
          <c:h val="0.4042038352102089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Roboto Light" panose="02000000000000000000" pitchFamily="2" charset="0"/>
              <a:cs typeface="Roboto Light" panose="020000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1"/>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xdr:colOff>
      <xdr:row>62</xdr:row>
      <xdr:rowOff>142875</xdr:rowOff>
    </xdr:from>
    <xdr:to>
      <xdr:col>17</xdr:col>
      <xdr:colOff>539750</xdr:colOff>
      <xdr:row>66</xdr:row>
      <xdr:rowOff>85725</xdr:rowOff>
    </xdr:to>
    <xdr:sp macro="" textlink="">
      <xdr:nvSpPr>
        <xdr:cNvPr id="2" name="TextBox 1">
          <a:extLst>
            <a:ext uri="{FF2B5EF4-FFF2-40B4-BE49-F238E27FC236}">
              <a16:creationId xmlns:a16="http://schemas.microsoft.com/office/drawing/2014/main" id="{18524626-9219-42D3-9B45-128DA2EE24CF}"/>
            </a:ext>
          </a:extLst>
        </xdr:cNvPr>
        <xdr:cNvSpPr txBox="1"/>
      </xdr:nvSpPr>
      <xdr:spPr>
        <a:xfrm>
          <a:off x="1" y="11391900"/>
          <a:ext cx="16294099" cy="666750"/>
        </a:xfrm>
        <a:prstGeom prst="rect">
          <a:avLst/>
        </a:prstGeom>
        <a:noFill/>
      </xdr:spPr>
      <xdr:txBody>
        <a:bodyPr wrap="square" rtlCol="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algn="just"/>
          <a:r>
            <a:rPr lang="en-US" sz="900" b="1" u="sng">
              <a:latin typeface="+mj-lt"/>
              <a:ea typeface="Roboto" panose="02000000000000000000" pitchFamily="2" charset="0"/>
            </a:rPr>
            <a:t>Disclaimer: </a:t>
          </a:r>
          <a:r>
            <a:rPr lang="en-US" sz="900">
              <a:latin typeface="+mj-lt"/>
              <a:ea typeface="Roboto" panose="02000000000000000000" pitchFamily="2" charset="0"/>
            </a:rPr>
            <a:t> </a:t>
          </a:r>
        </a:p>
        <a:p>
          <a:pPr algn="just"/>
          <a:r>
            <a:rPr lang="en-US" sz="900">
              <a:latin typeface="+mj-lt"/>
              <a:ea typeface="Roboto" panose="02000000000000000000" pitchFamily="2" charset="0"/>
            </a:rPr>
            <a:t>The information and material presented above are provided to you for informational purposes only and are not to be used or considered as an offer or a solicitation to sell or an offer or solicitation to buy or subscribe for securities or other financial instruments or any advice or recommendation with respect to such securities or other financial instruments. The values quoted for any particular investment are indicative only and are subject to change. Where leveraged returns have been shown, these are subject to change over the life of the investment. For detailed information regarding leverage and its implications, please contact us directly. While every effort has been made to ensure that the information contained within this document is accurate and up to date, Fiducia Capital Limited makes no warranty, representation or undertaking whether expressed or implied, nor does it assume any legal liability, whether direct or indirect, or responsibility for the accuracy, completeness, or usefulness of any information. </a:t>
          </a:r>
        </a:p>
      </xdr:txBody>
    </xdr:sp>
    <xdr:clientData/>
  </xdr:twoCellAnchor>
  <xdr:twoCellAnchor>
    <xdr:from>
      <xdr:col>0</xdr:col>
      <xdr:colOff>0</xdr:colOff>
      <xdr:row>114</xdr:row>
      <xdr:rowOff>85727</xdr:rowOff>
    </xdr:from>
    <xdr:to>
      <xdr:col>12</xdr:col>
      <xdr:colOff>581025</xdr:colOff>
      <xdr:row>125</xdr:row>
      <xdr:rowOff>142876</xdr:rowOff>
    </xdr:to>
    <xdr:graphicFrame macro="">
      <xdr:nvGraphicFramePr>
        <xdr:cNvPr id="3" name="Chart 2">
          <a:extLst>
            <a:ext uri="{FF2B5EF4-FFF2-40B4-BE49-F238E27FC236}">
              <a16:creationId xmlns:a16="http://schemas.microsoft.com/office/drawing/2014/main" id="{D9E1CE13-A4DB-4C19-92CF-90C4BF424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492125</xdr:colOff>
      <xdr:row>70</xdr:row>
      <xdr:rowOff>149224</xdr:rowOff>
    </xdr:from>
    <xdr:to>
      <xdr:col>10</xdr:col>
      <xdr:colOff>635000</xdr:colOff>
      <xdr:row>85</xdr:row>
      <xdr:rowOff>95251</xdr:rowOff>
    </xdr:to>
    <xdr:graphicFrame macro="">
      <xdr:nvGraphicFramePr>
        <xdr:cNvPr id="4" name="Chart 3">
          <a:extLst>
            <a:ext uri="{FF2B5EF4-FFF2-40B4-BE49-F238E27FC236}">
              <a16:creationId xmlns:a16="http://schemas.microsoft.com/office/drawing/2014/main" id="{BE33E274-1C27-4834-9F69-E5121F3E9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28575</xdr:colOff>
      <xdr:row>0</xdr:row>
      <xdr:rowOff>28574</xdr:rowOff>
    </xdr:from>
    <xdr:to>
      <xdr:col>0</xdr:col>
      <xdr:colOff>2166973</xdr:colOff>
      <xdr:row>2</xdr:row>
      <xdr:rowOff>158750</xdr:rowOff>
    </xdr:to>
    <xdr:pic>
      <xdr:nvPicPr>
        <xdr:cNvPr id="6" name="Picture 5">
          <a:extLst>
            <a:ext uri="{FF2B5EF4-FFF2-40B4-BE49-F238E27FC236}">
              <a16:creationId xmlns:a16="http://schemas.microsoft.com/office/drawing/2014/main" id="{EC58F184-A01A-6629-D7A0-97209B8D905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8575" y="28574"/>
          <a:ext cx="2138398" cy="492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xdr:colOff>
      <xdr:row>67</xdr:row>
      <xdr:rowOff>22224</xdr:rowOff>
    </xdr:from>
    <xdr:to>
      <xdr:col>0</xdr:col>
      <xdr:colOff>2157448</xdr:colOff>
      <xdr:row>69</xdr:row>
      <xdr:rowOff>152400</xdr:rowOff>
    </xdr:to>
    <xdr:pic>
      <xdr:nvPicPr>
        <xdr:cNvPr id="7" name="Picture 6">
          <a:extLst>
            <a:ext uri="{FF2B5EF4-FFF2-40B4-BE49-F238E27FC236}">
              <a16:creationId xmlns:a16="http://schemas.microsoft.com/office/drawing/2014/main" id="{DAA8A4C6-D6CF-4976-A9C1-9C38E00F4A4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050" y="12519024"/>
          <a:ext cx="2138398" cy="492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xdr:colOff>
      <xdr:row>140</xdr:row>
      <xdr:rowOff>15874</xdr:rowOff>
    </xdr:from>
    <xdr:to>
      <xdr:col>0</xdr:col>
      <xdr:colOff>2157448</xdr:colOff>
      <xdr:row>142</xdr:row>
      <xdr:rowOff>139700</xdr:rowOff>
    </xdr:to>
    <xdr:pic>
      <xdr:nvPicPr>
        <xdr:cNvPr id="5" name="Picture 4">
          <a:extLst>
            <a:ext uri="{FF2B5EF4-FFF2-40B4-BE49-F238E27FC236}">
              <a16:creationId xmlns:a16="http://schemas.microsoft.com/office/drawing/2014/main" id="{0006BBA5-9D0C-45D7-BAB8-A3FB56EC32A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050" y="26181049"/>
          <a:ext cx="2138398" cy="485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xdr:colOff>
      <xdr:row>180</xdr:row>
      <xdr:rowOff>15874</xdr:rowOff>
    </xdr:from>
    <xdr:to>
      <xdr:col>0</xdr:col>
      <xdr:colOff>2157448</xdr:colOff>
      <xdr:row>182</xdr:row>
      <xdr:rowOff>139700</xdr:rowOff>
    </xdr:to>
    <xdr:pic>
      <xdr:nvPicPr>
        <xdr:cNvPr id="8" name="Picture 7">
          <a:extLst>
            <a:ext uri="{FF2B5EF4-FFF2-40B4-BE49-F238E27FC236}">
              <a16:creationId xmlns:a16="http://schemas.microsoft.com/office/drawing/2014/main" id="{3DC7B843-5BA0-4D99-8744-9C2B8B9FFB5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050" y="34220149"/>
          <a:ext cx="2138398" cy="485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857250</xdr:colOff>
      <xdr:row>98</xdr:row>
      <xdr:rowOff>104774</xdr:rowOff>
    </xdr:from>
    <xdr:to>
      <xdr:col>8</xdr:col>
      <xdr:colOff>647701</xdr:colOff>
      <xdr:row>112</xdr:row>
      <xdr:rowOff>63500</xdr:rowOff>
    </xdr:to>
    <xdr:graphicFrame macro="">
      <xdr:nvGraphicFramePr>
        <xdr:cNvPr id="10" name="Chart 9">
          <a:extLst>
            <a:ext uri="{FF2B5EF4-FFF2-40B4-BE49-F238E27FC236}">
              <a16:creationId xmlns:a16="http://schemas.microsoft.com/office/drawing/2014/main" id="{24AF679B-34B0-4AB4-B39A-C31BE9C88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57151</xdr:colOff>
      <xdr:row>98</xdr:row>
      <xdr:rowOff>66675</xdr:rowOff>
    </xdr:from>
    <xdr:to>
      <xdr:col>2</xdr:col>
      <xdr:colOff>285751</xdr:colOff>
      <xdr:row>111</xdr:row>
      <xdr:rowOff>67235</xdr:rowOff>
    </xdr:to>
    <xdr:graphicFrame macro="">
      <xdr:nvGraphicFramePr>
        <xdr:cNvPr id="11" name="Chart 10">
          <a:extLst>
            <a:ext uri="{FF2B5EF4-FFF2-40B4-BE49-F238E27FC236}">
              <a16:creationId xmlns:a16="http://schemas.microsoft.com/office/drawing/2014/main" id="{9784CDB3-805E-4DF8-8EE8-A1FE06DF0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676275</xdr:colOff>
      <xdr:row>98</xdr:row>
      <xdr:rowOff>66675</xdr:rowOff>
    </xdr:from>
    <xdr:to>
      <xdr:col>17</xdr:col>
      <xdr:colOff>238126</xdr:colOff>
      <xdr:row>111</xdr:row>
      <xdr:rowOff>133350</xdr:rowOff>
    </xdr:to>
    <xdr:graphicFrame macro="">
      <xdr:nvGraphicFramePr>
        <xdr:cNvPr id="12" name="Chart 11">
          <a:extLst>
            <a:ext uri="{FF2B5EF4-FFF2-40B4-BE49-F238E27FC236}">
              <a16:creationId xmlns:a16="http://schemas.microsoft.com/office/drawing/2014/main" id="{9B7B73E5-DFAA-4324-8D73-53110ED48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661148</xdr:colOff>
      <xdr:row>100</xdr:row>
      <xdr:rowOff>67236</xdr:rowOff>
    </xdr:from>
    <xdr:to>
      <xdr:col>6</xdr:col>
      <xdr:colOff>294715</xdr:colOff>
      <xdr:row>111</xdr:row>
      <xdr:rowOff>95811</xdr:rowOff>
    </xdr:to>
    <xdr:graphicFrame macro="">
      <xdr:nvGraphicFramePr>
        <xdr:cNvPr id="2" name="Chart 1">
          <a:extLst>
            <a:ext uri="{FF2B5EF4-FFF2-40B4-BE49-F238E27FC236}">
              <a16:creationId xmlns:a16="http://schemas.microsoft.com/office/drawing/2014/main" id="{51C913A8-7C97-4CB3-9B36-166B4107D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Common\Investments%20-%202024\New%20Template%20-%20Portfolio%20Analysis\AUMs.xlsx" TargetMode="External"/><Relationship Id="rId1" Type="http://schemas.openxmlformats.org/officeDocument/2006/relationships/externalLinkPath" Target="/Common/Investments%20-%202024/New%20Template%20-%20Portfolio%20Analysis/AU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pose Asset Allocation"/>
      <sheetName val="Current Asset Allocation"/>
      <sheetName val="Country Codes"/>
      <sheetName val="ISIN Input for Bond Charts"/>
      <sheetName val="DATA SHEET"/>
    </sheetNames>
    <sheetDataSet>
      <sheetData sheetId="0"/>
      <sheetData sheetId="1"/>
      <sheetData sheetId="2">
        <row r="2">
          <cell r="A2" t="str">
            <v>AX</v>
          </cell>
          <cell r="B2" t="str">
            <v>Aland Islands</v>
          </cell>
        </row>
        <row r="3">
          <cell r="A3" t="str">
            <v>AF</v>
          </cell>
          <cell r="B3" t="str">
            <v>Afghanistan</v>
          </cell>
        </row>
        <row r="4">
          <cell r="A4" t="str">
            <v>AL</v>
          </cell>
          <cell r="B4" t="str">
            <v>Albania</v>
          </cell>
        </row>
        <row r="5">
          <cell r="A5" t="str">
            <v>DZ</v>
          </cell>
          <cell r="B5" t="str">
            <v>Algeria</v>
          </cell>
        </row>
        <row r="6">
          <cell r="A6" t="str">
            <v>AS</v>
          </cell>
          <cell r="B6" t="str">
            <v>American Samoa</v>
          </cell>
        </row>
        <row r="7">
          <cell r="A7" t="str">
            <v>AD</v>
          </cell>
          <cell r="B7" t="str">
            <v>Andorra</v>
          </cell>
        </row>
        <row r="8">
          <cell r="A8" t="str">
            <v>AO</v>
          </cell>
          <cell r="B8" t="str">
            <v>Angola</v>
          </cell>
        </row>
        <row r="9">
          <cell r="A9" t="str">
            <v>AI</v>
          </cell>
          <cell r="B9" t="str">
            <v>Anguilla</v>
          </cell>
        </row>
        <row r="10">
          <cell r="A10" t="str">
            <v>AQ</v>
          </cell>
          <cell r="B10" t="str">
            <v>Antarctica</v>
          </cell>
        </row>
        <row r="11">
          <cell r="A11" t="str">
            <v>AG</v>
          </cell>
          <cell r="B11" t="str">
            <v>Antigua and Barbuda</v>
          </cell>
        </row>
        <row r="12">
          <cell r="A12" t="str">
            <v>AR</v>
          </cell>
          <cell r="B12" t="str">
            <v>Argentina</v>
          </cell>
        </row>
        <row r="13">
          <cell r="A13" t="str">
            <v>AM</v>
          </cell>
          <cell r="B13" t="str">
            <v>Armenia</v>
          </cell>
        </row>
        <row r="14">
          <cell r="A14" t="str">
            <v>AW</v>
          </cell>
          <cell r="B14" t="str">
            <v>Aruba</v>
          </cell>
        </row>
        <row r="15">
          <cell r="A15" t="str">
            <v>AU</v>
          </cell>
          <cell r="B15" t="str">
            <v>Australia</v>
          </cell>
        </row>
        <row r="16">
          <cell r="A16" t="str">
            <v>AT</v>
          </cell>
          <cell r="B16" t="str">
            <v>Austria</v>
          </cell>
        </row>
        <row r="17">
          <cell r="A17" t="str">
            <v>AZ</v>
          </cell>
          <cell r="B17" t="str">
            <v>Azerbaijan</v>
          </cell>
        </row>
        <row r="18">
          <cell r="A18" t="str">
            <v>BS</v>
          </cell>
          <cell r="B18" t="str">
            <v>Bahamas</v>
          </cell>
        </row>
        <row r="19">
          <cell r="A19" t="str">
            <v>BH</v>
          </cell>
          <cell r="B19" t="str">
            <v>Bahrain</v>
          </cell>
        </row>
        <row r="20">
          <cell r="A20" t="str">
            <v>BD</v>
          </cell>
          <cell r="B20" t="str">
            <v>Bangladesh</v>
          </cell>
        </row>
        <row r="21">
          <cell r="A21" t="str">
            <v>BB</v>
          </cell>
          <cell r="B21" t="str">
            <v>Barbados</v>
          </cell>
        </row>
        <row r="22">
          <cell r="A22" t="str">
            <v>BY</v>
          </cell>
          <cell r="B22" t="str">
            <v>Belarus</v>
          </cell>
        </row>
        <row r="23">
          <cell r="A23" t="str">
            <v>BE</v>
          </cell>
          <cell r="B23" t="str">
            <v>Belgium</v>
          </cell>
        </row>
        <row r="24">
          <cell r="A24" t="str">
            <v>BZ</v>
          </cell>
          <cell r="B24" t="str">
            <v>Belize</v>
          </cell>
        </row>
        <row r="25">
          <cell r="A25" t="str">
            <v>BJ</v>
          </cell>
          <cell r="B25" t="str">
            <v>Benin</v>
          </cell>
        </row>
        <row r="26">
          <cell r="A26" t="str">
            <v>BM</v>
          </cell>
          <cell r="B26" t="str">
            <v>Bermuda</v>
          </cell>
        </row>
        <row r="27">
          <cell r="A27" t="str">
            <v>BT</v>
          </cell>
          <cell r="B27" t="str">
            <v>Bhutan</v>
          </cell>
        </row>
        <row r="28">
          <cell r="A28" t="str">
            <v>BO</v>
          </cell>
          <cell r="B28" t="str">
            <v>Bolivia</v>
          </cell>
        </row>
        <row r="29">
          <cell r="A29" t="str">
            <v>BQ</v>
          </cell>
          <cell r="B29" t="str">
            <v>Bonaire, Saint Eustatius and Saba</v>
          </cell>
        </row>
        <row r="30">
          <cell r="A30" t="str">
            <v>BA</v>
          </cell>
          <cell r="B30" t="str">
            <v>Bosnia and Herzegovina</v>
          </cell>
        </row>
        <row r="31">
          <cell r="A31" t="str">
            <v>BW</v>
          </cell>
          <cell r="B31" t="str">
            <v>Botswana</v>
          </cell>
        </row>
        <row r="32">
          <cell r="A32" t="str">
            <v>BV</v>
          </cell>
          <cell r="B32" t="str">
            <v>Bouvet Island</v>
          </cell>
        </row>
        <row r="33">
          <cell r="A33" t="str">
            <v>BR</v>
          </cell>
          <cell r="B33" t="str">
            <v>Brazil</v>
          </cell>
        </row>
        <row r="34">
          <cell r="A34" t="str">
            <v>IO</v>
          </cell>
          <cell r="B34" t="str">
            <v>British Indian Ocean Territory</v>
          </cell>
        </row>
        <row r="35">
          <cell r="A35" t="str">
            <v>BN</v>
          </cell>
          <cell r="B35" t="str">
            <v>Brunei Darussalam</v>
          </cell>
        </row>
        <row r="36">
          <cell r="A36" t="str">
            <v>BG</v>
          </cell>
          <cell r="B36" t="str">
            <v>Bulgaria</v>
          </cell>
        </row>
        <row r="37">
          <cell r="A37" t="str">
            <v>BF</v>
          </cell>
          <cell r="B37" t="str">
            <v>Burkina Faso</v>
          </cell>
        </row>
        <row r="38">
          <cell r="A38" t="str">
            <v>BI</v>
          </cell>
          <cell r="B38" t="str">
            <v>Burundi</v>
          </cell>
        </row>
        <row r="39">
          <cell r="A39" t="str">
            <v>KH</v>
          </cell>
          <cell r="B39" t="str">
            <v>Cambodia</v>
          </cell>
        </row>
        <row r="40">
          <cell r="A40" t="str">
            <v>CM</v>
          </cell>
          <cell r="B40" t="str">
            <v>Cameroon</v>
          </cell>
        </row>
        <row r="41">
          <cell r="A41" t="str">
            <v>CA</v>
          </cell>
          <cell r="B41" t="str">
            <v>Canada</v>
          </cell>
        </row>
        <row r="42">
          <cell r="A42" t="str">
            <v>CV</v>
          </cell>
          <cell r="B42" t="str">
            <v>Cape Verde</v>
          </cell>
        </row>
        <row r="43">
          <cell r="A43" t="str">
            <v>KY</v>
          </cell>
          <cell r="B43" t="str">
            <v>Cayman Islands</v>
          </cell>
        </row>
        <row r="44">
          <cell r="A44" t="str">
            <v>CF</v>
          </cell>
          <cell r="B44" t="str">
            <v>Central African Republic</v>
          </cell>
        </row>
        <row r="45">
          <cell r="A45" t="str">
            <v>TD</v>
          </cell>
          <cell r="B45" t="str">
            <v>Chad</v>
          </cell>
        </row>
        <row r="46">
          <cell r="A46" t="str">
            <v>CL</v>
          </cell>
          <cell r="B46" t="str">
            <v>Chile</v>
          </cell>
        </row>
        <row r="47">
          <cell r="A47" t="str">
            <v>CN</v>
          </cell>
          <cell r="B47" t="str">
            <v>China</v>
          </cell>
        </row>
        <row r="48">
          <cell r="A48" t="str">
            <v>CX</v>
          </cell>
          <cell r="B48" t="str">
            <v>Christmas Island</v>
          </cell>
        </row>
        <row r="49">
          <cell r="A49" t="str">
            <v>CC</v>
          </cell>
          <cell r="B49" t="str">
            <v>Cocos (Keeling) Islands</v>
          </cell>
        </row>
        <row r="50">
          <cell r="A50" t="str">
            <v>CO</v>
          </cell>
          <cell r="B50" t="str">
            <v>Colombia</v>
          </cell>
        </row>
        <row r="51">
          <cell r="A51" t="str">
            <v>KM</v>
          </cell>
          <cell r="B51" t="str">
            <v>Comoros (the)</v>
          </cell>
        </row>
        <row r="52">
          <cell r="A52" t="str">
            <v>CD</v>
          </cell>
          <cell r="B52" t="str">
            <v>Congo</v>
          </cell>
        </row>
        <row r="53">
          <cell r="A53" t="str">
            <v>CG</v>
          </cell>
          <cell r="B53" t="str">
            <v>Congo, The Democratic Republic of the</v>
          </cell>
        </row>
        <row r="54">
          <cell r="A54" t="str">
            <v>CK</v>
          </cell>
          <cell r="B54" t="str">
            <v>Cook Islands</v>
          </cell>
        </row>
        <row r="55">
          <cell r="A55" t="str">
            <v>CR</v>
          </cell>
          <cell r="B55" t="str">
            <v>Costa Rica</v>
          </cell>
        </row>
        <row r="56">
          <cell r="A56" t="str">
            <v>CI</v>
          </cell>
          <cell r="B56" t="str">
            <v>Côte D'Ivoire</v>
          </cell>
        </row>
        <row r="57">
          <cell r="A57" t="str">
            <v>HR</v>
          </cell>
          <cell r="B57" t="str">
            <v>Croatia</v>
          </cell>
        </row>
        <row r="58">
          <cell r="A58" t="str">
            <v>CU</v>
          </cell>
          <cell r="B58" t="str">
            <v>Cuba</v>
          </cell>
        </row>
        <row r="59">
          <cell r="A59" t="str">
            <v>CW</v>
          </cell>
          <cell r="B59" t="str">
            <v>Curaçao</v>
          </cell>
        </row>
        <row r="60">
          <cell r="A60" t="str">
            <v>CY</v>
          </cell>
          <cell r="B60" t="str">
            <v>Cyprus</v>
          </cell>
        </row>
        <row r="61">
          <cell r="A61" t="str">
            <v>CZ</v>
          </cell>
          <cell r="B61" t="str">
            <v>Czech Republic</v>
          </cell>
        </row>
        <row r="62">
          <cell r="A62" t="str">
            <v>DK</v>
          </cell>
          <cell r="B62" t="str">
            <v>Denmark</v>
          </cell>
        </row>
        <row r="63">
          <cell r="A63" t="str">
            <v>DJ</v>
          </cell>
          <cell r="B63" t="str">
            <v>Djibouti</v>
          </cell>
        </row>
        <row r="64">
          <cell r="A64" t="str">
            <v>DM</v>
          </cell>
          <cell r="B64" t="str">
            <v>Dominica</v>
          </cell>
        </row>
        <row r="65">
          <cell r="A65" t="str">
            <v>DO</v>
          </cell>
          <cell r="B65" t="str">
            <v>Dominican Republic</v>
          </cell>
        </row>
        <row r="66">
          <cell r="A66" t="str">
            <v>EC</v>
          </cell>
          <cell r="B66" t="str">
            <v>Ecuador</v>
          </cell>
        </row>
        <row r="67">
          <cell r="A67" t="str">
            <v>EG</v>
          </cell>
          <cell r="B67" t="str">
            <v>Egypt</v>
          </cell>
        </row>
        <row r="68">
          <cell r="A68" t="str">
            <v>SV</v>
          </cell>
          <cell r="B68" t="str">
            <v>El Salvador</v>
          </cell>
        </row>
        <row r="69">
          <cell r="A69" t="str">
            <v>GQ</v>
          </cell>
          <cell r="B69" t="str">
            <v>Equatorial Guinea</v>
          </cell>
        </row>
        <row r="70">
          <cell r="A70" t="str">
            <v>ER</v>
          </cell>
          <cell r="B70" t="str">
            <v>Eritrea</v>
          </cell>
        </row>
        <row r="71">
          <cell r="A71" t="str">
            <v>EE</v>
          </cell>
          <cell r="B71" t="str">
            <v>Estonia</v>
          </cell>
        </row>
        <row r="72">
          <cell r="A72" t="str">
            <v>SZ</v>
          </cell>
          <cell r="B72" t="str">
            <v>Eswatini</v>
          </cell>
        </row>
        <row r="73">
          <cell r="A73" t="str">
            <v>ET</v>
          </cell>
          <cell r="B73" t="str">
            <v>Ethiopia</v>
          </cell>
        </row>
        <row r="74">
          <cell r="A74" t="str">
            <v>FK</v>
          </cell>
          <cell r="B74" t="str">
            <v>Falkland Islands (Malvinas)</v>
          </cell>
        </row>
        <row r="75">
          <cell r="A75" t="str">
            <v>FO</v>
          </cell>
          <cell r="B75" t="str">
            <v>Faroe Islands</v>
          </cell>
        </row>
        <row r="76">
          <cell r="A76" t="str">
            <v>FJ</v>
          </cell>
          <cell r="B76" t="str">
            <v>Fiji</v>
          </cell>
        </row>
        <row r="77">
          <cell r="A77" t="str">
            <v>FI</v>
          </cell>
          <cell r="B77" t="str">
            <v>Finland</v>
          </cell>
        </row>
        <row r="78">
          <cell r="A78" t="str">
            <v>FR</v>
          </cell>
          <cell r="B78" t="str">
            <v>France</v>
          </cell>
        </row>
        <row r="79">
          <cell r="A79" t="str">
            <v>GF</v>
          </cell>
          <cell r="B79" t="str">
            <v>French Guiana</v>
          </cell>
        </row>
        <row r="80">
          <cell r="A80" t="str">
            <v>PF</v>
          </cell>
          <cell r="B80" t="str">
            <v>French Polynesia</v>
          </cell>
        </row>
        <row r="81">
          <cell r="A81" t="str">
            <v>TF</v>
          </cell>
          <cell r="B81" t="str">
            <v>French Southern Territories</v>
          </cell>
        </row>
        <row r="82">
          <cell r="A82" t="str">
            <v>GA</v>
          </cell>
          <cell r="B82" t="str">
            <v>Gabon</v>
          </cell>
        </row>
        <row r="83">
          <cell r="A83" t="str">
            <v>GM</v>
          </cell>
          <cell r="B83" t="str">
            <v>Gambia</v>
          </cell>
        </row>
        <row r="84">
          <cell r="A84" t="str">
            <v>GE</v>
          </cell>
          <cell r="B84" t="str">
            <v>Georgia</v>
          </cell>
        </row>
        <row r="85">
          <cell r="A85" t="str">
            <v>DE</v>
          </cell>
          <cell r="B85" t="str">
            <v>Germany</v>
          </cell>
        </row>
        <row r="86">
          <cell r="A86" t="str">
            <v>GH</v>
          </cell>
          <cell r="B86" t="str">
            <v>Ghana</v>
          </cell>
        </row>
        <row r="87">
          <cell r="A87" t="str">
            <v>GI</v>
          </cell>
          <cell r="B87" t="str">
            <v>Gibraltar</v>
          </cell>
        </row>
        <row r="88">
          <cell r="A88" t="str">
            <v>GR</v>
          </cell>
          <cell r="B88" t="str">
            <v>Greece</v>
          </cell>
        </row>
        <row r="89">
          <cell r="A89" t="str">
            <v>GL</v>
          </cell>
          <cell r="B89" t="str">
            <v>Greenland</v>
          </cell>
        </row>
        <row r="90">
          <cell r="A90" t="str">
            <v>GD</v>
          </cell>
          <cell r="B90" t="str">
            <v>Grenada</v>
          </cell>
        </row>
        <row r="91">
          <cell r="A91" t="str">
            <v>GP</v>
          </cell>
          <cell r="B91" t="str">
            <v>Guadeloupe</v>
          </cell>
        </row>
        <row r="92">
          <cell r="A92" t="str">
            <v>GU</v>
          </cell>
          <cell r="B92" t="str">
            <v>Guam</v>
          </cell>
        </row>
        <row r="93">
          <cell r="A93" t="str">
            <v>GT</v>
          </cell>
          <cell r="B93" t="str">
            <v>Guatemala</v>
          </cell>
        </row>
        <row r="94">
          <cell r="A94" t="str">
            <v>GG</v>
          </cell>
          <cell r="B94" t="str">
            <v>Guernsey</v>
          </cell>
        </row>
        <row r="95">
          <cell r="A95" t="str">
            <v>GN</v>
          </cell>
          <cell r="B95" t="str">
            <v>Guinea</v>
          </cell>
        </row>
        <row r="96">
          <cell r="A96" t="str">
            <v>GW</v>
          </cell>
          <cell r="B96" t="str">
            <v>Guinea-Bissau</v>
          </cell>
        </row>
        <row r="97">
          <cell r="A97" t="str">
            <v>GY</v>
          </cell>
          <cell r="B97" t="str">
            <v>Guyana</v>
          </cell>
        </row>
        <row r="98">
          <cell r="A98" t="str">
            <v>HT</v>
          </cell>
          <cell r="B98" t="str">
            <v>Haiti</v>
          </cell>
        </row>
        <row r="99">
          <cell r="A99" t="str">
            <v>HM</v>
          </cell>
          <cell r="B99" t="str">
            <v>Heard Island and McDonald Islands</v>
          </cell>
        </row>
        <row r="100">
          <cell r="A100" t="str">
            <v>VA</v>
          </cell>
          <cell r="B100" t="str">
            <v>Holy See (Vatican City State)</v>
          </cell>
        </row>
        <row r="101">
          <cell r="A101" t="str">
            <v>HN</v>
          </cell>
          <cell r="B101" t="str">
            <v>Honduras</v>
          </cell>
        </row>
        <row r="102">
          <cell r="A102" t="str">
            <v>HK</v>
          </cell>
          <cell r="B102" t="str">
            <v>Hong Kong</v>
          </cell>
        </row>
        <row r="103">
          <cell r="A103" t="str">
            <v>HU</v>
          </cell>
          <cell r="B103" t="str">
            <v>Hungary</v>
          </cell>
        </row>
        <row r="104">
          <cell r="A104" t="str">
            <v>IS</v>
          </cell>
          <cell r="B104" t="str">
            <v>Iceland</v>
          </cell>
        </row>
        <row r="105">
          <cell r="A105" t="str">
            <v>IN</v>
          </cell>
          <cell r="B105" t="str">
            <v>India</v>
          </cell>
        </row>
        <row r="106">
          <cell r="A106" t="str">
            <v>ID</v>
          </cell>
          <cell r="B106" t="str">
            <v>Indonesia</v>
          </cell>
        </row>
        <row r="107">
          <cell r="A107" t="str">
            <v>IR</v>
          </cell>
          <cell r="B107" t="str">
            <v>Iran, Islamic Republic of</v>
          </cell>
        </row>
        <row r="108">
          <cell r="A108" t="str">
            <v>IQ</v>
          </cell>
          <cell r="B108" t="str">
            <v>Iraq</v>
          </cell>
        </row>
        <row r="109">
          <cell r="A109" t="str">
            <v>IE</v>
          </cell>
          <cell r="B109" t="str">
            <v>Ireland</v>
          </cell>
        </row>
        <row r="110">
          <cell r="A110" t="str">
            <v>IM</v>
          </cell>
          <cell r="B110" t="str">
            <v>Isle of Man</v>
          </cell>
        </row>
        <row r="111">
          <cell r="A111" t="str">
            <v>IL</v>
          </cell>
          <cell r="B111" t="str">
            <v>Israel</v>
          </cell>
        </row>
        <row r="112">
          <cell r="A112" t="str">
            <v>IT</v>
          </cell>
          <cell r="B112" t="str">
            <v>Italy</v>
          </cell>
        </row>
        <row r="113">
          <cell r="A113" t="str">
            <v>JM</v>
          </cell>
          <cell r="B113" t="str">
            <v>Jamaica</v>
          </cell>
        </row>
        <row r="114">
          <cell r="A114" t="str">
            <v>JP</v>
          </cell>
          <cell r="B114" t="str">
            <v>Japan</v>
          </cell>
        </row>
        <row r="115">
          <cell r="A115" t="str">
            <v>JE</v>
          </cell>
          <cell r="B115" t="str">
            <v>Jersey</v>
          </cell>
        </row>
        <row r="116">
          <cell r="A116" t="str">
            <v>JO</v>
          </cell>
          <cell r="B116" t="str">
            <v>Jordan</v>
          </cell>
        </row>
        <row r="117">
          <cell r="A117" t="str">
            <v>KZ</v>
          </cell>
          <cell r="B117" t="str">
            <v>Kazakhstan</v>
          </cell>
        </row>
        <row r="118">
          <cell r="A118" t="str">
            <v>KE</v>
          </cell>
          <cell r="B118" t="str">
            <v>Kenya</v>
          </cell>
        </row>
        <row r="119">
          <cell r="A119" t="str">
            <v>KI</v>
          </cell>
          <cell r="B119" t="str">
            <v>Kiribati</v>
          </cell>
        </row>
        <row r="120">
          <cell r="A120" t="str">
            <v>KP</v>
          </cell>
          <cell r="B120" t="str">
            <v>Korea, Democratic People's Republic of</v>
          </cell>
        </row>
        <row r="121">
          <cell r="A121" t="str">
            <v>KR</v>
          </cell>
          <cell r="B121" t="str">
            <v>Korea, Republic of</v>
          </cell>
        </row>
        <row r="122">
          <cell r="A122" t="str">
            <v>KW</v>
          </cell>
          <cell r="B122" t="str">
            <v>Kuwait</v>
          </cell>
        </row>
        <row r="123">
          <cell r="A123" t="str">
            <v>KG</v>
          </cell>
          <cell r="B123" t="str">
            <v>Kyrgyzstan</v>
          </cell>
        </row>
        <row r="124">
          <cell r="A124" t="str">
            <v>LA</v>
          </cell>
          <cell r="B124" t="str">
            <v>Lao People's Democratic Republic</v>
          </cell>
        </row>
        <row r="125">
          <cell r="A125" t="str">
            <v>LV</v>
          </cell>
          <cell r="B125" t="str">
            <v>Latvia</v>
          </cell>
        </row>
        <row r="126">
          <cell r="A126" t="str">
            <v>LB</v>
          </cell>
          <cell r="B126" t="str">
            <v>Lebanon</v>
          </cell>
        </row>
        <row r="127">
          <cell r="A127" t="str">
            <v>LS</v>
          </cell>
          <cell r="B127" t="str">
            <v>Lesotho</v>
          </cell>
        </row>
        <row r="128">
          <cell r="A128" t="str">
            <v>LR</v>
          </cell>
          <cell r="B128" t="str">
            <v>Liberia</v>
          </cell>
        </row>
        <row r="129">
          <cell r="A129" t="str">
            <v>LY</v>
          </cell>
          <cell r="B129" t="str">
            <v>Libya</v>
          </cell>
        </row>
        <row r="130">
          <cell r="A130" t="str">
            <v>LI</v>
          </cell>
          <cell r="B130" t="str">
            <v>Liechtenstein</v>
          </cell>
        </row>
        <row r="131">
          <cell r="A131" t="str">
            <v>LT</v>
          </cell>
          <cell r="B131" t="str">
            <v>Lithuania</v>
          </cell>
        </row>
        <row r="132">
          <cell r="A132" t="str">
            <v>LU</v>
          </cell>
          <cell r="B132" t="str">
            <v>Luxembourg</v>
          </cell>
        </row>
        <row r="133">
          <cell r="A133" t="str">
            <v>MO</v>
          </cell>
          <cell r="B133" t="str">
            <v>Macau</v>
          </cell>
        </row>
        <row r="134">
          <cell r="A134" t="str">
            <v>MK</v>
          </cell>
          <cell r="B134" t="str">
            <v>Macedonia</v>
          </cell>
        </row>
        <row r="135">
          <cell r="A135" t="str">
            <v>MG</v>
          </cell>
          <cell r="B135" t="str">
            <v>Madagascar</v>
          </cell>
        </row>
        <row r="136">
          <cell r="A136" t="str">
            <v>MW</v>
          </cell>
          <cell r="B136" t="str">
            <v>Malawi</v>
          </cell>
        </row>
        <row r="137">
          <cell r="A137" t="str">
            <v>MY</v>
          </cell>
          <cell r="B137" t="str">
            <v>Malaysia</v>
          </cell>
        </row>
        <row r="138">
          <cell r="A138" t="str">
            <v>MV</v>
          </cell>
          <cell r="B138" t="str">
            <v>Maldives</v>
          </cell>
        </row>
        <row r="139">
          <cell r="A139" t="str">
            <v>ML</v>
          </cell>
          <cell r="B139" t="str">
            <v>Mali</v>
          </cell>
        </row>
        <row r="140">
          <cell r="A140" t="str">
            <v>MT</v>
          </cell>
          <cell r="B140" t="str">
            <v>Malta</v>
          </cell>
        </row>
        <row r="141">
          <cell r="A141" t="str">
            <v>MH</v>
          </cell>
          <cell r="B141" t="str">
            <v>Marshall Islands</v>
          </cell>
        </row>
        <row r="142">
          <cell r="A142" t="str">
            <v>MQ</v>
          </cell>
          <cell r="B142" t="str">
            <v>Martinique</v>
          </cell>
        </row>
        <row r="143">
          <cell r="A143" t="str">
            <v>MR</v>
          </cell>
          <cell r="B143" t="str">
            <v>Mauritania</v>
          </cell>
        </row>
        <row r="144">
          <cell r="A144" t="str">
            <v>MU</v>
          </cell>
          <cell r="B144" t="str">
            <v>Mauritius</v>
          </cell>
        </row>
        <row r="145">
          <cell r="A145" t="str">
            <v>YT</v>
          </cell>
          <cell r="B145" t="str">
            <v>Mayotte</v>
          </cell>
        </row>
        <row r="146">
          <cell r="A146" t="str">
            <v>MX</v>
          </cell>
          <cell r="B146" t="str">
            <v>Mexico</v>
          </cell>
        </row>
        <row r="147">
          <cell r="A147" t="str">
            <v>FM</v>
          </cell>
          <cell r="B147" t="str">
            <v>Micronesia, Federated States of</v>
          </cell>
        </row>
        <row r="148">
          <cell r="A148" t="str">
            <v>MD</v>
          </cell>
          <cell r="B148" t="str">
            <v>Moldova, Republic of</v>
          </cell>
        </row>
        <row r="149">
          <cell r="A149" t="str">
            <v>MC</v>
          </cell>
          <cell r="B149" t="str">
            <v>Monaco</v>
          </cell>
        </row>
        <row r="150">
          <cell r="A150" t="str">
            <v>MN</v>
          </cell>
          <cell r="B150" t="str">
            <v>Mongolia</v>
          </cell>
        </row>
        <row r="151">
          <cell r="A151" t="str">
            <v>ME</v>
          </cell>
          <cell r="B151" t="str">
            <v>Montenegro</v>
          </cell>
        </row>
        <row r="152">
          <cell r="A152" t="str">
            <v>MS</v>
          </cell>
          <cell r="B152" t="str">
            <v>Montserrat</v>
          </cell>
        </row>
        <row r="153">
          <cell r="A153" t="str">
            <v>MA</v>
          </cell>
          <cell r="B153" t="str">
            <v>Morocco</v>
          </cell>
        </row>
        <row r="154">
          <cell r="A154" t="str">
            <v>MZ</v>
          </cell>
          <cell r="B154" t="str">
            <v>Mozambique</v>
          </cell>
        </row>
        <row r="155">
          <cell r="A155" t="str">
            <v>MM</v>
          </cell>
          <cell r="B155" t="str">
            <v>Myanmar</v>
          </cell>
        </row>
        <row r="156">
          <cell r="A156" t="str">
            <v>NA</v>
          </cell>
          <cell r="B156" t="str">
            <v>Namibia</v>
          </cell>
        </row>
        <row r="157">
          <cell r="A157" t="str">
            <v>NR</v>
          </cell>
          <cell r="B157" t="str">
            <v>Nauru</v>
          </cell>
        </row>
        <row r="158">
          <cell r="A158" t="str">
            <v>NP</v>
          </cell>
          <cell r="B158" t="str">
            <v>Nepal</v>
          </cell>
        </row>
        <row r="159">
          <cell r="A159" t="str">
            <v>NL</v>
          </cell>
          <cell r="B159" t="str">
            <v>Netherlands</v>
          </cell>
        </row>
        <row r="160">
          <cell r="A160" t="str">
            <v>NC</v>
          </cell>
          <cell r="B160" t="str">
            <v>New Caledonia</v>
          </cell>
        </row>
        <row r="161">
          <cell r="A161" t="str">
            <v>NZ</v>
          </cell>
          <cell r="B161" t="str">
            <v>New Zealand</v>
          </cell>
        </row>
        <row r="162">
          <cell r="A162" t="str">
            <v>NI</v>
          </cell>
          <cell r="B162" t="str">
            <v>Nicaragua</v>
          </cell>
        </row>
        <row r="163">
          <cell r="A163" t="str">
            <v>NE</v>
          </cell>
          <cell r="B163" t="str">
            <v>Niger</v>
          </cell>
        </row>
        <row r="164">
          <cell r="A164" t="str">
            <v>NG</v>
          </cell>
          <cell r="B164" t="str">
            <v>Nigeria</v>
          </cell>
        </row>
        <row r="165">
          <cell r="A165" t="str">
            <v>NU</v>
          </cell>
          <cell r="B165" t="str">
            <v>Niue</v>
          </cell>
        </row>
        <row r="166">
          <cell r="A166" t="str">
            <v>NF</v>
          </cell>
          <cell r="B166" t="str">
            <v>Norfolk Island</v>
          </cell>
        </row>
        <row r="167">
          <cell r="A167" t="str">
            <v>MP</v>
          </cell>
          <cell r="B167" t="str">
            <v>Northern Mariana Islands</v>
          </cell>
        </row>
        <row r="168">
          <cell r="A168" t="str">
            <v>NO</v>
          </cell>
          <cell r="B168" t="str">
            <v>Norway</v>
          </cell>
        </row>
        <row r="169">
          <cell r="A169" t="str">
            <v>OM</v>
          </cell>
          <cell r="B169" t="str">
            <v>Oman</v>
          </cell>
        </row>
        <row r="170">
          <cell r="A170" t="str">
            <v>PK</v>
          </cell>
          <cell r="B170" t="str">
            <v>Pakistan</v>
          </cell>
        </row>
        <row r="171">
          <cell r="A171" t="str">
            <v>PW</v>
          </cell>
          <cell r="B171" t="str">
            <v>Palau</v>
          </cell>
        </row>
        <row r="172">
          <cell r="A172" t="str">
            <v>PS</v>
          </cell>
          <cell r="B172" t="str">
            <v>Palestinian Territory</v>
          </cell>
        </row>
        <row r="173">
          <cell r="A173" t="str">
            <v>PA</v>
          </cell>
          <cell r="B173" t="str">
            <v>Panama</v>
          </cell>
        </row>
        <row r="174">
          <cell r="A174" t="str">
            <v>PG</v>
          </cell>
          <cell r="B174" t="str">
            <v>Papua New Guinea</v>
          </cell>
        </row>
        <row r="175">
          <cell r="A175" t="str">
            <v>PY</v>
          </cell>
          <cell r="B175" t="str">
            <v>Paraguay</v>
          </cell>
        </row>
        <row r="176">
          <cell r="A176" t="str">
            <v>PE</v>
          </cell>
          <cell r="B176" t="str">
            <v>Peru</v>
          </cell>
        </row>
        <row r="177">
          <cell r="A177" t="str">
            <v>PH</v>
          </cell>
          <cell r="B177" t="str">
            <v>Philippines</v>
          </cell>
        </row>
        <row r="178">
          <cell r="A178" t="str">
            <v>PN</v>
          </cell>
          <cell r="B178" t="str">
            <v>Pitcairn Islands</v>
          </cell>
        </row>
        <row r="179">
          <cell r="A179" t="str">
            <v>PL</v>
          </cell>
          <cell r="B179" t="str">
            <v>Poland</v>
          </cell>
        </row>
        <row r="180">
          <cell r="A180" t="str">
            <v>PT</v>
          </cell>
          <cell r="B180" t="str">
            <v>Portugal</v>
          </cell>
        </row>
        <row r="181">
          <cell r="A181" t="str">
            <v>PR</v>
          </cell>
          <cell r="B181" t="str">
            <v>Puerto Rico</v>
          </cell>
        </row>
        <row r="182">
          <cell r="A182" t="str">
            <v>QA</v>
          </cell>
          <cell r="B182" t="str">
            <v>Qatar</v>
          </cell>
        </row>
        <row r="183">
          <cell r="A183" t="str">
            <v>RO</v>
          </cell>
          <cell r="B183" t="str">
            <v>Romania</v>
          </cell>
        </row>
        <row r="184">
          <cell r="A184" t="str">
            <v>RU</v>
          </cell>
          <cell r="B184" t="str">
            <v>Russia</v>
          </cell>
        </row>
        <row r="185">
          <cell r="A185" t="str">
            <v>RW</v>
          </cell>
          <cell r="B185" t="str">
            <v>Rwanda</v>
          </cell>
        </row>
        <row r="186">
          <cell r="A186" t="str">
            <v>RE</v>
          </cell>
          <cell r="B186" t="str">
            <v>Reunion</v>
          </cell>
        </row>
        <row r="187">
          <cell r="A187" t="str">
            <v>BL</v>
          </cell>
          <cell r="B187" t="str">
            <v>Saint Barthelemy</v>
          </cell>
        </row>
        <row r="188">
          <cell r="A188" t="str">
            <v>SH</v>
          </cell>
          <cell r="B188" t="str">
            <v>Saint Helena</v>
          </cell>
        </row>
        <row r="189">
          <cell r="A189" t="str">
            <v>KN</v>
          </cell>
          <cell r="B189" t="str">
            <v>Saint Kitts and Nevis</v>
          </cell>
        </row>
        <row r="190">
          <cell r="A190" t="str">
            <v>LC</v>
          </cell>
          <cell r="B190" t="str">
            <v>Saint Lucia</v>
          </cell>
        </row>
        <row r="191">
          <cell r="A191" t="str">
            <v>MF</v>
          </cell>
          <cell r="B191" t="str">
            <v>Saint Martin</v>
          </cell>
        </row>
        <row r="192">
          <cell r="A192" t="str">
            <v>PM</v>
          </cell>
          <cell r="B192" t="str">
            <v>Saint Pierre and Miquelon</v>
          </cell>
        </row>
        <row r="193">
          <cell r="A193" t="str">
            <v>VC</v>
          </cell>
          <cell r="B193" t="str">
            <v>Saint Vincent and the Grenadines</v>
          </cell>
        </row>
        <row r="194">
          <cell r="A194" t="str">
            <v>WS</v>
          </cell>
          <cell r="B194" t="str">
            <v>Samoa</v>
          </cell>
        </row>
        <row r="195">
          <cell r="A195" t="str">
            <v>SM</v>
          </cell>
          <cell r="B195" t="str">
            <v>San Marino</v>
          </cell>
        </row>
        <row r="196">
          <cell r="A196" t="str">
            <v>ST</v>
          </cell>
          <cell r="B196" t="str">
            <v>Sao Tome and Principe</v>
          </cell>
        </row>
        <row r="197">
          <cell r="A197" t="str">
            <v>SA</v>
          </cell>
          <cell r="B197" t="str">
            <v>Saudi Arabia</v>
          </cell>
        </row>
        <row r="198">
          <cell r="A198" t="str">
            <v>SN</v>
          </cell>
          <cell r="B198" t="str">
            <v>Senegal</v>
          </cell>
        </row>
        <row r="199">
          <cell r="A199" t="str">
            <v>RS</v>
          </cell>
          <cell r="B199" t="str">
            <v>Serbia</v>
          </cell>
        </row>
        <row r="200">
          <cell r="A200" t="str">
            <v>SC</v>
          </cell>
          <cell r="B200" t="str">
            <v>Seychelles</v>
          </cell>
        </row>
        <row r="201">
          <cell r="A201" t="str">
            <v>SL</v>
          </cell>
          <cell r="B201" t="str">
            <v>Sierra Leone</v>
          </cell>
        </row>
        <row r="202">
          <cell r="A202" t="str">
            <v>SG</v>
          </cell>
          <cell r="B202" t="str">
            <v>Singapore</v>
          </cell>
        </row>
        <row r="203">
          <cell r="A203" t="str">
            <v>SX</v>
          </cell>
          <cell r="B203" t="str">
            <v>Sint Maarten (Dutch part)</v>
          </cell>
        </row>
        <row r="204">
          <cell r="A204" t="str">
            <v>SK</v>
          </cell>
          <cell r="B204" t="str">
            <v>Slovakia</v>
          </cell>
        </row>
        <row r="205">
          <cell r="A205" t="str">
            <v>SI</v>
          </cell>
          <cell r="B205" t="str">
            <v>Slovenia</v>
          </cell>
        </row>
        <row r="206">
          <cell r="A206" t="str">
            <v>SB</v>
          </cell>
          <cell r="B206" t="str">
            <v>Solomon Islands</v>
          </cell>
        </row>
        <row r="207">
          <cell r="A207" t="str">
            <v>SO</v>
          </cell>
          <cell r="B207" t="str">
            <v>Somalia</v>
          </cell>
        </row>
        <row r="208">
          <cell r="A208" t="str">
            <v>ZA</v>
          </cell>
          <cell r="B208" t="str">
            <v>South Africa</v>
          </cell>
        </row>
        <row r="209">
          <cell r="A209" t="str">
            <v>GS</v>
          </cell>
          <cell r="B209" t="str">
            <v>South Georgia and the South Sandwich Islands</v>
          </cell>
        </row>
        <row r="210">
          <cell r="A210" t="str">
            <v>SS</v>
          </cell>
          <cell r="B210" t="str">
            <v>South Sudan</v>
          </cell>
        </row>
        <row r="211">
          <cell r="A211" t="str">
            <v>ES</v>
          </cell>
          <cell r="B211" t="str">
            <v>Spain</v>
          </cell>
        </row>
        <row r="212">
          <cell r="A212" t="str">
            <v>LK</v>
          </cell>
          <cell r="B212" t="str">
            <v>Sri Lanka</v>
          </cell>
        </row>
        <row r="213">
          <cell r="A213" t="str">
            <v>SNAT</v>
          </cell>
          <cell r="B213" t="str">
            <v>Supra National</v>
          </cell>
        </row>
        <row r="214">
          <cell r="A214" t="str">
            <v>SD</v>
          </cell>
          <cell r="B214" t="str">
            <v>Sudan</v>
          </cell>
        </row>
        <row r="215">
          <cell r="A215" t="str">
            <v>SR</v>
          </cell>
          <cell r="B215" t="str">
            <v>Suriname</v>
          </cell>
        </row>
        <row r="216">
          <cell r="A216" t="str">
            <v>SJ</v>
          </cell>
          <cell r="B216" t="str">
            <v>Svalbard and Jan Mayen</v>
          </cell>
        </row>
        <row r="217">
          <cell r="A217" t="str">
            <v>SE</v>
          </cell>
          <cell r="B217" t="str">
            <v>Sweden</v>
          </cell>
        </row>
        <row r="218">
          <cell r="A218" t="str">
            <v>CH</v>
          </cell>
          <cell r="B218" t="str">
            <v>Switzerland</v>
          </cell>
        </row>
        <row r="219">
          <cell r="A219" t="str">
            <v>SY</v>
          </cell>
          <cell r="B219" t="str">
            <v>Syrian Arab Republic</v>
          </cell>
        </row>
        <row r="220">
          <cell r="A220" t="str">
            <v>TW</v>
          </cell>
          <cell r="B220" t="str">
            <v>Taiwan</v>
          </cell>
        </row>
        <row r="221">
          <cell r="A221" t="str">
            <v>TJ</v>
          </cell>
          <cell r="B221" t="str">
            <v>Tajikistan</v>
          </cell>
        </row>
        <row r="222">
          <cell r="A222" t="str">
            <v>TZ</v>
          </cell>
          <cell r="B222" t="str">
            <v>Tanzania, United Republic of</v>
          </cell>
        </row>
        <row r="223">
          <cell r="A223" t="str">
            <v>TH</v>
          </cell>
          <cell r="B223" t="str">
            <v>Thailand</v>
          </cell>
        </row>
        <row r="224">
          <cell r="A224" t="str">
            <v>TL</v>
          </cell>
          <cell r="B224" t="str">
            <v>Timor-Leste</v>
          </cell>
        </row>
        <row r="225">
          <cell r="A225" t="str">
            <v>TG</v>
          </cell>
          <cell r="B225" t="str">
            <v>Togo</v>
          </cell>
        </row>
        <row r="226">
          <cell r="A226" t="str">
            <v>TK</v>
          </cell>
          <cell r="B226" t="str">
            <v>Tokelau</v>
          </cell>
        </row>
        <row r="227">
          <cell r="A227" t="str">
            <v>TO</v>
          </cell>
          <cell r="B227" t="str">
            <v>Tonga</v>
          </cell>
        </row>
        <row r="228">
          <cell r="A228" t="str">
            <v>TT</v>
          </cell>
          <cell r="B228" t="str">
            <v>Trinidad and Tobago</v>
          </cell>
        </row>
        <row r="229">
          <cell r="A229" t="str">
            <v>TN</v>
          </cell>
          <cell r="B229" t="str">
            <v>Tunisia</v>
          </cell>
        </row>
        <row r="230">
          <cell r="A230" t="str">
            <v>TR</v>
          </cell>
          <cell r="B230" t="str">
            <v>Turkey</v>
          </cell>
        </row>
        <row r="231">
          <cell r="A231" t="str">
            <v>TM</v>
          </cell>
          <cell r="B231" t="str">
            <v>Turkmenistan</v>
          </cell>
        </row>
        <row r="232">
          <cell r="A232" t="str">
            <v>TC</v>
          </cell>
          <cell r="B232" t="str">
            <v>Turks and Caicos Islands</v>
          </cell>
        </row>
        <row r="233">
          <cell r="A233" t="str">
            <v>TV</v>
          </cell>
          <cell r="B233" t="str">
            <v>Tuvalu</v>
          </cell>
        </row>
        <row r="234">
          <cell r="A234" t="str">
            <v>UG</v>
          </cell>
          <cell r="B234" t="str">
            <v>Uganda</v>
          </cell>
        </row>
        <row r="235">
          <cell r="A235" t="str">
            <v>UA</v>
          </cell>
          <cell r="B235" t="str">
            <v>Ukraine</v>
          </cell>
        </row>
        <row r="236">
          <cell r="A236" t="str">
            <v>AE</v>
          </cell>
          <cell r="B236" t="str">
            <v>UAE</v>
          </cell>
        </row>
        <row r="237">
          <cell r="A237" t="str">
            <v>GB</v>
          </cell>
          <cell r="B237" t="str">
            <v>United Kingdom</v>
          </cell>
        </row>
        <row r="238">
          <cell r="A238" t="str">
            <v>UM</v>
          </cell>
          <cell r="B238" t="str">
            <v>United States Minor Outlying Islands</v>
          </cell>
        </row>
        <row r="239">
          <cell r="A239" t="str">
            <v>US</v>
          </cell>
          <cell r="B239" t="str">
            <v>United States</v>
          </cell>
        </row>
        <row r="240">
          <cell r="A240" t="str">
            <v>UY</v>
          </cell>
          <cell r="B240" t="str">
            <v>Uruguay</v>
          </cell>
        </row>
        <row r="241">
          <cell r="A241" t="str">
            <v>UZ</v>
          </cell>
          <cell r="B241" t="str">
            <v>Uzbekistan</v>
          </cell>
        </row>
        <row r="242">
          <cell r="A242" t="str">
            <v>VU</v>
          </cell>
          <cell r="B242" t="str">
            <v>Vanuatu</v>
          </cell>
        </row>
        <row r="243">
          <cell r="A243" t="str">
            <v>VE</v>
          </cell>
          <cell r="B243" t="str">
            <v>Venezuela</v>
          </cell>
        </row>
        <row r="244">
          <cell r="A244" t="str">
            <v>VN</v>
          </cell>
          <cell r="B244" t="str">
            <v>Vietnam</v>
          </cell>
        </row>
        <row r="245">
          <cell r="A245" t="str">
            <v>VG</v>
          </cell>
          <cell r="B245" t="str">
            <v>BVI</v>
          </cell>
        </row>
        <row r="246">
          <cell r="A246" t="str">
            <v>VI</v>
          </cell>
          <cell r="B246" t="str">
            <v>Virgin Islands, U.S.</v>
          </cell>
        </row>
        <row r="247">
          <cell r="A247" t="str">
            <v>WF</v>
          </cell>
          <cell r="B247" t="str">
            <v>Wallis and Futuna</v>
          </cell>
        </row>
        <row r="248">
          <cell r="A248" t="str">
            <v>EH</v>
          </cell>
          <cell r="B248" t="str">
            <v>Western Sahara</v>
          </cell>
        </row>
        <row r="249">
          <cell r="A249" t="str">
            <v>YE</v>
          </cell>
          <cell r="B249" t="str">
            <v>Yemen</v>
          </cell>
        </row>
        <row r="250">
          <cell r="A250" t="str">
            <v>ZM</v>
          </cell>
          <cell r="B250" t="str">
            <v>Zambia</v>
          </cell>
        </row>
        <row r="251">
          <cell r="A251" t="str">
            <v>ZW</v>
          </cell>
          <cell r="B251" t="str">
            <v>Zimbabwe</v>
          </cell>
        </row>
        <row r="252">
          <cell r="A252" t="str">
            <v>EM</v>
          </cell>
          <cell r="B252" t="str">
            <v>Emerging Markets</v>
          </cell>
        </row>
        <row r="253">
          <cell r="A253" t="str">
            <v>Other</v>
          </cell>
          <cell r="B253" t="str">
            <v>Other</v>
          </cell>
        </row>
      </sheetData>
      <sheetData sheetId="3"/>
      <sheetData sheetId="4"/>
    </sheetDataSet>
  </externalBook>
</externalLink>
</file>

<file path=xl/persons/person.xml><?xml version="1.0" encoding="utf-8"?>
<personList xmlns="http://schemas.microsoft.com/office/spreadsheetml/2018/threadedcomments" xmlns:x="http://schemas.openxmlformats.org/spreadsheetml/2006/main">
  <person displayName="Ankit Kapoor" id="{9E2BDE01-F1B3-41ED-AB09-FD038049B274}" userId="S::ankit.kapoor@fiduciacapital.com::a2e8a5d6-5ba2-4a90-a715-43b8a9c0937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R154" dT="2024-07-08T11:37:29.00" personId="{9E2BDE01-F1B3-41ED-AB09-FD038049B274}" id="{8B4ED4B9-2713-40FA-9051-0DDC10690A60}">
    <text>DO NOT 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11AA-ABB2-461E-952E-C4E1B0E97033}">
  <dimension ref="A1:BQ269"/>
  <sheetViews>
    <sheetView showGridLines="0" tabSelected="1" zoomScaleNormal="100" workbookViewId="0">
      <selection activeCell="M16" sqref="M16"/>
    </sheetView>
  </sheetViews>
  <sheetFormatPr defaultColWidth="8.85546875" defaultRowHeight="14.45" customHeight="1" x14ac:dyDescent="0.25"/>
  <cols>
    <col min="1" max="1" width="48.5703125" style="13" bestFit="1" customWidth="1"/>
    <col min="2" max="2" width="11.140625" style="13" customWidth="1"/>
    <col min="3" max="3" width="13.42578125" style="13" customWidth="1"/>
    <col min="4" max="4" width="13.28515625" style="13" customWidth="1"/>
    <col min="5" max="5" width="10.28515625" style="13" customWidth="1"/>
    <col min="6" max="6" width="13.140625" style="13" customWidth="1"/>
    <col min="7" max="7" width="12.42578125" style="13" customWidth="1"/>
    <col min="8" max="8" width="10" style="13" customWidth="1"/>
    <col min="9" max="9" width="12.7109375" style="13" customWidth="1"/>
    <col min="10" max="10" width="11.28515625" style="13" customWidth="1"/>
    <col min="11" max="11" width="10.7109375" style="13" customWidth="1"/>
    <col min="12" max="12" width="10" style="13" customWidth="1"/>
    <col min="13" max="13" width="11.5703125" style="13" bestFit="1" customWidth="1"/>
    <col min="14" max="14" width="13.28515625" style="13" customWidth="1"/>
    <col min="15" max="15" width="13.7109375" style="13" customWidth="1"/>
    <col min="16" max="16" width="9.140625" style="13" customWidth="1"/>
    <col min="17" max="18" width="11.5703125" style="13" customWidth="1"/>
    <col min="19" max="19" width="23.5703125" style="13" bestFit="1" customWidth="1"/>
    <col min="20" max="20" width="12.140625" style="13" customWidth="1"/>
    <col min="21" max="21" width="26.140625" style="13" customWidth="1"/>
    <col min="22" max="22" width="28.7109375" style="13" customWidth="1"/>
    <col min="23" max="23" width="13.85546875" style="13" bestFit="1" customWidth="1"/>
    <col min="24" max="24" width="17.42578125" style="13" bestFit="1" customWidth="1"/>
    <col min="25" max="26" width="14.28515625" style="13" customWidth="1"/>
    <col min="27" max="27" width="8.85546875" style="13" customWidth="1"/>
    <col min="28" max="28" width="21.42578125" style="13" customWidth="1"/>
    <col min="29" max="29" width="10.85546875" style="13" customWidth="1"/>
    <col min="30" max="30" width="18.140625" style="13" customWidth="1"/>
    <col min="31" max="31" width="10.85546875" style="13" customWidth="1"/>
    <col min="32" max="32" width="11.85546875" style="13" customWidth="1"/>
    <col min="33" max="33" width="11.7109375" style="13" bestFit="1" customWidth="1"/>
    <col min="34" max="34" width="11.5703125" style="13" customWidth="1"/>
    <col min="35" max="35" width="12.7109375" style="13" customWidth="1"/>
    <col min="36" max="36" width="14.5703125" style="13" bestFit="1" customWidth="1"/>
    <col min="37" max="37" width="14.140625" style="13" customWidth="1"/>
    <col min="38" max="38" width="15.140625" style="13" bestFit="1" customWidth="1"/>
    <col min="39" max="39" width="32.5703125" style="13" bestFit="1" customWidth="1"/>
    <col min="40" max="40" width="14.5703125" style="13" bestFit="1" customWidth="1"/>
    <col min="41" max="41" width="14" style="13" bestFit="1" customWidth="1"/>
    <col min="42" max="42" width="9" style="13" bestFit="1" customWidth="1"/>
    <col min="43" max="43" width="8.85546875" style="13"/>
    <col min="44" max="44" width="14.42578125" style="13" customWidth="1"/>
    <col min="45" max="48" width="8.85546875" style="13"/>
    <col min="49" max="49" width="13.28515625" style="13" customWidth="1"/>
    <col min="50" max="51" width="8.85546875" style="13"/>
    <col min="52" max="52" width="10.140625" style="13" bestFit="1" customWidth="1"/>
    <col min="53" max="68" width="8.85546875" style="13"/>
    <col min="69" max="69" width="0" style="13" hidden="1" customWidth="1"/>
    <col min="70" max="16384" width="8.85546875" style="13"/>
  </cols>
  <sheetData>
    <row r="1" spans="1:69" ht="14.45" customHeight="1" x14ac:dyDescent="0.25">
      <c r="S1" s="14"/>
    </row>
    <row r="2" spans="1:69" ht="14.45" customHeight="1" x14ac:dyDescent="0.25">
      <c r="G2" s="304" t="s">
        <v>447</v>
      </c>
      <c r="H2" s="305">
        <f ca="1">NOW()</f>
        <v>45769.597652777775</v>
      </c>
      <c r="I2" s="306"/>
      <c r="S2" s="14"/>
    </row>
    <row r="3" spans="1:69" ht="14.45" customHeight="1" x14ac:dyDescent="0.25">
      <c r="S3" s="14"/>
    </row>
    <row r="4" spans="1:69" ht="14.45" customHeight="1" x14ac:dyDescent="0.25">
      <c r="S4" s="14"/>
    </row>
    <row r="5" spans="1:69" ht="14.45" customHeight="1" x14ac:dyDescent="0.25">
      <c r="A5" s="16" t="s">
        <v>32</v>
      </c>
      <c r="B5" s="16"/>
      <c r="C5" s="16"/>
      <c r="D5" s="16"/>
      <c r="E5" s="16"/>
      <c r="F5" s="16"/>
      <c r="G5" s="16"/>
      <c r="H5" s="16"/>
      <c r="I5" s="16"/>
      <c r="S5" s="318" t="s">
        <v>81</v>
      </c>
      <c r="T5" s="319"/>
      <c r="V5" s="319" t="s">
        <v>82</v>
      </c>
      <c r="W5" s="319"/>
      <c r="Y5" s="319" t="s">
        <v>83</v>
      </c>
      <c r="Z5" s="319"/>
      <c r="AA5" s="319"/>
      <c r="AE5" s="312" t="s">
        <v>374</v>
      </c>
      <c r="AF5" s="312"/>
      <c r="AG5" s="312"/>
      <c r="AI5" s="317" t="s">
        <v>63</v>
      </c>
      <c r="AJ5" s="317"/>
      <c r="AK5" s="317"/>
      <c r="BQ5" s="228" t="s">
        <v>60</v>
      </c>
    </row>
    <row r="6" spans="1:69" ht="14.45" customHeight="1" x14ac:dyDescent="0.25">
      <c r="A6" s="1" t="s">
        <v>33</v>
      </c>
      <c r="B6" s="2"/>
      <c r="C6" s="323" t="s">
        <v>295</v>
      </c>
      <c r="D6" s="323"/>
      <c r="E6" s="323"/>
      <c r="F6" s="323"/>
      <c r="G6" s="323"/>
      <c r="H6" s="323"/>
      <c r="I6" s="323"/>
      <c r="S6" s="14" t="s">
        <v>85</v>
      </c>
      <c r="T6" s="110"/>
      <c r="AE6" s="313" t="s">
        <v>375</v>
      </c>
      <c r="AF6" s="313"/>
      <c r="AG6" s="313"/>
      <c r="AH6" s="229"/>
      <c r="AI6" s="322"/>
      <c r="AJ6" s="322"/>
      <c r="AK6" s="322"/>
    </row>
    <row r="7" spans="1:69" ht="15" customHeight="1" x14ac:dyDescent="0.25">
      <c r="A7" s="1" t="s">
        <v>34</v>
      </c>
      <c r="B7" s="2"/>
      <c r="C7" s="323">
        <v>2620173.0099999998</v>
      </c>
      <c r="D7" s="323"/>
      <c r="E7" s="323"/>
      <c r="F7" s="323"/>
      <c r="G7" s="323"/>
      <c r="H7" s="323"/>
      <c r="I7" s="323"/>
      <c r="S7" s="14"/>
      <c r="V7" s="15" t="s">
        <v>73</v>
      </c>
      <c r="W7" s="16" t="s">
        <v>86</v>
      </c>
      <c r="Y7" s="15" t="str">
        <f>A8</f>
        <v>Investment Risk Profile</v>
      </c>
      <c r="Z7" s="16" t="str">
        <f>C8</f>
        <v>Moderate</v>
      </c>
      <c r="AA7" s="16"/>
      <c r="AE7" s="15" t="s">
        <v>61</v>
      </c>
      <c r="AF7" s="16" t="s">
        <v>402</v>
      </c>
      <c r="AG7" s="16" t="s">
        <v>92</v>
      </c>
      <c r="AI7" s="15" t="s">
        <v>93</v>
      </c>
      <c r="AJ7" s="16" t="s">
        <v>91</v>
      </c>
      <c r="AK7" s="16" t="s">
        <v>92</v>
      </c>
      <c r="AM7" s="16" t="s">
        <v>428</v>
      </c>
    </row>
    <row r="8" spans="1:69" ht="14.45" customHeight="1" x14ac:dyDescent="0.25">
      <c r="A8" s="1" t="s">
        <v>35</v>
      </c>
      <c r="B8" s="2"/>
      <c r="C8" s="323" t="s">
        <v>235</v>
      </c>
      <c r="D8" s="323"/>
      <c r="E8" s="323"/>
      <c r="F8" s="323"/>
      <c r="G8" s="323"/>
      <c r="H8" s="323"/>
      <c r="I8" s="323"/>
      <c r="S8" s="14"/>
      <c r="V8" s="17" t="s">
        <v>66</v>
      </c>
      <c r="W8" s="18"/>
      <c r="AE8" s="128" t="s">
        <v>367</v>
      </c>
      <c r="AF8" s="278">
        <f t="shared" ref="AF8:AF18" si="0">AG8/$AG$19</f>
        <v>0</v>
      </c>
      <c r="AG8" s="20">
        <f t="shared" ref="AG8:AG18" si="1">+SUMIF($D$155:$D$157,AE8,$O$155:$O$157)</f>
        <v>0</v>
      </c>
      <c r="AI8" s="128" t="s">
        <v>0</v>
      </c>
      <c r="AJ8" s="19" t="e">
        <f>AK8/$AK$12</f>
        <v>#VALUE!</v>
      </c>
      <c r="AK8" s="20">
        <f>D25</f>
        <v>8652.57</v>
      </c>
      <c r="AM8" s="121" t="s">
        <v>125</v>
      </c>
    </row>
    <row r="9" spans="1:69" ht="14.25" customHeight="1" x14ac:dyDescent="0.25">
      <c r="A9" s="1" t="s">
        <v>36</v>
      </c>
      <c r="B9" s="2"/>
      <c r="C9" s="323" t="s">
        <v>294</v>
      </c>
      <c r="D9" s="323"/>
      <c r="E9" s="323"/>
      <c r="F9" s="323"/>
      <c r="G9" s="323"/>
      <c r="H9" s="323"/>
      <c r="I9" s="323"/>
      <c r="S9" s="15" t="s">
        <v>62</v>
      </c>
      <c r="V9" s="17" t="s">
        <v>67</v>
      </c>
      <c r="W9" s="133">
        <f>_xll.BDP("GBPUSD CURNCY", "PX_LAST")</f>
        <v>1.3379000000000001</v>
      </c>
      <c r="Y9" s="15" t="s">
        <v>95</v>
      </c>
      <c r="Z9" s="16" t="s">
        <v>66</v>
      </c>
      <c r="AA9" s="16" t="s">
        <v>96</v>
      </c>
      <c r="AE9" s="128" t="s">
        <v>429</v>
      </c>
      <c r="AF9" s="278">
        <f t="shared" si="0"/>
        <v>1</v>
      </c>
      <c r="AG9" s="20">
        <f t="shared" si="1"/>
        <v>43120.835919999998</v>
      </c>
      <c r="AI9" s="128" t="s">
        <v>1</v>
      </c>
      <c r="AJ9" s="19" t="e">
        <f>AK9/$AK$12</f>
        <v>#VALUE!</v>
      </c>
      <c r="AK9" s="20" t="e">
        <f>D29</f>
        <v>#VALUE!</v>
      </c>
      <c r="AM9" s="121" t="s">
        <v>214</v>
      </c>
    </row>
    <row r="10" spans="1:69" ht="14.45" customHeight="1" x14ac:dyDescent="0.25">
      <c r="A10" s="1" t="s">
        <v>37</v>
      </c>
      <c r="B10" s="2"/>
      <c r="C10" s="323" t="s">
        <v>41</v>
      </c>
      <c r="D10" s="323"/>
      <c r="E10" s="323"/>
      <c r="F10" s="323"/>
      <c r="G10" s="323"/>
      <c r="H10" s="323"/>
      <c r="I10" s="323"/>
      <c r="K10" s="229"/>
      <c r="S10" s="131" t="s">
        <v>98</v>
      </c>
      <c r="V10" s="17" t="s">
        <v>64</v>
      </c>
      <c r="W10" s="133">
        <f>_xll.BDP("EURUSD CURNCY", "PX_LAST")</f>
        <v>1.1503000000000001</v>
      </c>
      <c r="Y10" s="17" t="s">
        <v>99</v>
      </c>
      <c r="Z10" s="20">
        <f>D39</f>
        <v>0</v>
      </c>
      <c r="AA10" s="19" t="e">
        <f>Z10/$C$14</f>
        <v>#VALUE!</v>
      </c>
      <c r="AE10" s="128" t="s">
        <v>430</v>
      </c>
      <c r="AF10" s="278">
        <f t="shared" si="0"/>
        <v>0</v>
      </c>
      <c r="AG10" s="20">
        <f t="shared" si="1"/>
        <v>0</v>
      </c>
      <c r="AI10" s="128" t="s">
        <v>2</v>
      </c>
      <c r="AJ10" s="19" t="e">
        <f>AK10/$AK$12</f>
        <v>#VALUE!</v>
      </c>
      <c r="AK10" s="20" t="e">
        <f>D35</f>
        <v>#VALUE!</v>
      </c>
      <c r="AM10" s="121" t="s">
        <v>215</v>
      </c>
    </row>
    <row r="11" spans="1:69" ht="14.45" customHeight="1" x14ac:dyDescent="0.25">
      <c r="A11" s="1" t="s">
        <v>38</v>
      </c>
      <c r="B11" s="2"/>
      <c r="C11" s="323" t="s">
        <v>40</v>
      </c>
      <c r="D11" s="323"/>
      <c r="E11" s="323"/>
      <c r="F11" s="323"/>
      <c r="G11" s="323"/>
      <c r="H11" s="323"/>
      <c r="I11" s="323"/>
      <c r="S11" s="132">
        <v>45470</v>
      </c>
      <c r="V11" s="17" t="s">
        <v>101</v>
      </c>
      <c r="W11" s="133">
        <f>_xll.BDP("AEDUSD CURNCY", "PX_LAST")</f>
        <v>0.27225326999999999</v>
      </c>
      <c r="Y11" s="17" t="s">
        <v>102</v>
      </c>
      <c r="Z11" s="20">
        <f>D33</f>
        <v>0</v>
      </c>
      <c r="AA11" s="19" t="e">
        <f t="shared" ref="AA11:AA16" si="2">Z11/$C$14</f>
        <v>#VALUE!</v>
      </c>
      <c r="AE11" s="128" t="s">
        <v>431</v>
      </c>
      <c r="AF11" s="278">
        <f t="shared" si="0"/>
        <v>0</v>
      </c>
      <c r="AG11" s="20">
        <f t="shared" si="1"/>
        <v>0</v>
      </c>
      <c r="AI11" s="128" t="s">
        <v>3</v>
      </c>
      <c r="AJ11" s="19" t="e">
        <f>AK11/$AK$12</f>
        <v>#VALUE!</v>
      </c>
      <c r="AK11" s="20">
        <f>D40</f>
        <v>0</v>
      </c>
      <c r="AM11" s="121" t="s">
        <v>216</v>
      </c>
    </row>
    <row r="12" spans="1:69" ht="14.45" customHeight="1" thickBot="1" x14ac:dyDescent="0.3">
      <c r="S12" s="288"/>
      <c r="V12" s="17" t="s">
        <v>69</v>
      </c>
      <c r="W12" s="133">
        <f>_xll.BDP("CHFUSD CURNCY", "PX_LAST")</f>
        <v>1.2343</v>
      </c>
      <c r="Y12" s="17" t="s">
        <v>103</v>
      </c>
      <c r="Z12" s="20">
        <f>D34</f>
        <v>0</v>
      </c>
      <c r="AA12" s="19" t="e">
        <f t="shared" si="2"/>
        <v>#VALUE!</v>
      </c>
      <c r="AE12" s="128" t="s">
        <v>432</v>
      </c>
      <c r="AF12" s="278">
        <f t="shared" si="0"/>
        <v>0</v>
      </c>
      <c r="AG12" s="20">
        <f t="shared" si="1"/>
        <v>0</v>
      </c>
      <c r="AI12" s="147" t="s">
        <v>105</v>
      </c>
      <c r="AJ12" s="148" t="e">
        <f>SUM(AJ8:AJ11)</f>
        <v>#VALUE!</v>
      </c>
      <c r="AK12" s="149" t="e">
        <f>SUM(AK8:AK11)</f>
        <v>#VALUE!</v>
      </c>
      <c r="AM12" s="121" t="s">
        <v>124</v>
      </c>
    </row>
    <row r="13" spans="1:69" ht="14.45" customHeight="1" thickTop="1" x14ac:dyDescent="0.25">
      <c r="A13" s="16" t="s">
        <v>42</v>
      </c>
      <c r="B13" s="16"/>
      <c r="C13" s="16"/>
      <c r="D13" s="16"/>
      <c r="E13" s="16"/>
      <c r="F13" s="16"/>
      <c r="G13" s="16"/>
      <c r="H13" s="16"/>
      <c r="I13" s="16"/>
      <c r="S13" s="14"/>
      <c r="V13" s="17" t="s">
        <v>106</v>
      </c>
      <c r="W13" s="133">
        <f>_xll.BDP("AUDUSD CURNCY", "PX_LAST")</f>
        <v>0.64059999999999995</v>
      </c>
      <c r="Y13" s="17" t="s">
        <v>107</v>
      </c>
      <c r="Z13" s="20">
        <f>D42</f>
        <v>0</v>
      </c>
      <c r="AA13" s="19" t="e">
        <f t="shared" si="2"/>
        <v>#VALUE!</v>
      </c>
      <c r="AD13"/>
      <c r="AE13" s="128" t="s">
        <v>433</v>
      </c>
      <c r="AF13" s="278">
        <f t="shared" si="0"/>
        <v>0</v>
      </c>
      <c r="AG13" s="20">
        <f t="shared" si="1"/>
        <v>0</v>
      </c>
      <c r="AI13" s="150" t="s">
        <v>122</v>
      </c>
      <c r="AJ13" s="229"/>
      <c r="AK13" s="230" t="e">
        <f>AK12-C14</f>
        <v>#VALUE!</v>
      </c>
    </row>
    <row r="14" spans="1:69" ht="14.45" customHeight="1" x14ac:dyDescent="0.25">
      <c r="A14" s="3" t="s">
        <v>43</v>
      </c>
      <c r="B14" s="3"/>
      <c r="C14" s="151" t="e">
        <f>D49</f>
        <v>#VALUE!</v>
      </c>
      <c r="D14" s="4"/>
      <c r="E14" s="4"/>
      <c r="F14" s="4"/>
      <c r="G14" s="4"/>
      <c r="H14" s="4"/>
      <c r="I14" s="2"/>
      <c r="S14" s="14"/>
      <c r="V14" s="17" t="s">
        <v>109</v>
      </c>
      <c r="W14" s="133">
        <f>_xll.BDP("HKDUSD CURNCY", "PX_LAST")</f>
        <v>0.12892000000000001</v>
      </c>
      <c r="Y14" s="17" t="s">
        <v>110</v>
      </c>
      <c r="Z14" s="20">
        <f>D31</f>
        <v>0</v>
      </c>
      <c r="AA14" s="19" t="e">
        <f t="shared" si="2"/>
        <v>#VALUE!</v>
      </c>
      <c r="AE14" s="128" t="s">
        <v>434</v>
      </c>
      <c r="AF14" s="278">
        <f t="shared" si="0"/>
        <v>0</v>
      </c>
      <c r="AG14" s="20">
        <f t="shared" si="1"/>
        <v>0</v>
      </c>
      <c r="AI14" s="229"/>
      <c r="AJ14" s="229"/>
      <c r="AK14" s="229"/>
    </row>
    <row r="15" spans="1:69" ht="14.45" customHeight="1" x14ac:dyDescent="0.25">
      <c r="A15" s="2" t="s">
        <v>44</v>
      </c>
      <c r="B15" s="2"/>
      <c r="C15" s="152">
        <f>N139</f>
        <v>0</v>
      </c>
      <c r="D15" s="5"/>
      <c r="E15" s="5"/>
      <c r="F15" s="5"/>
      <c r="G15" s="5"/>
      <c r="K15" s="153"/>
      <c r="S15" s="14"/>
      <c r="Y15" s="17" t="s">
        <v>112</v>
      </c>
      <c r="Z15" s="20">
        <f>D45+D46</f>
        <v>0</v>
      </c>
      <c r="AA15" s="19" t="e">
        <f t="shared" si="2"/>
        <v>#VALUE!</v>
      </c>
      <c r="AE15" s="128" t="s">
        <v>435</v>
      </c>
      <c r="AF15" s="278">
        <f t="shared" si="0"/>
        <v>0</v>
      </c>
      <c r="AG15" s="20">
        <f t="shared" si="1"/>
        <v>0</v>
      </c>
      <c r="AI15" s="229"/>
      <c r="AJ15" s="229"/>
      <c r="AK15" s="229"/>
    </row>
    <row r="16" spans="1:69" ht="14.45" customHeight="1" thickBot="1" x14ac:dyDescent="0.3">
      <c r="A16" s="154" t="s">
        <v>45</v>
      </c>
      <c r="B16" s="154"/>
      <c r="C16" s="151" t="e">
        <f>C14-C15</f>
        <v>#VALUE!</v>
      </c>
      <c r="D16" s="4"/>
      <c r="E16" s="4"/>
      <c r="F16" s="4"/>
      <c r="G16" s="4"/>
      <c r="S16" s="14"/>
      <c r="Y16" s="155" t="s">
        <v>105</v>
      </c>
      <c r="Z16" s="149">
        <f>SUM(Z10:Z15)</f>
        <v>0</v>
      </c>
      <c r="AA16" s="148" t="e">
        <f t="shared" si="2"/>
        <v>#VALUE!</v>
      </c>
      <c r="AE16" s="128" t="s">
        <v>436</v>
      </c>
      <c r="AF16" s="278">
        <f t="shared" si="0"/>
        <v>0</v>
      </c>
      <c r="AG16" s="20">
        <f t="shared" si="1"/>
        <v>0</v>
      </c>
      <c r="AI16" s="229"/>
      <c r="AJ16" s="229"/>
      <c r="AK16" s="229"/>
    </row>
    <row r="17" spans="1:37" ht="14.45" customHeight="1" thickTop="1" x14ac:dyDescent="0.25">
      <c r="A17" s="2" t="s">
        <v>46</v>
      </c>
      <c r="B17" s="2"/>
      <c r="C17" s="156">
        <f>O139</f>
        <v>0</v>
      </c>
      <c r="D17" s="6"/>
      <c r="E17" s="6"/>
      <c r="F17" s="6"/>
      <c r="G17" s="6"/>
      <c r="S17" s="14"/>
      <c r="AE17" s="128" t="s">
        <v>389</v>
      </c>
      <c r="AF17" s="278">
        <f t="shared" si="0"/>
        <v>0</v>
      </c>
      <c r="AG17" s="20">
        <f t="shared" si="1"/>
        <v>0</v>
      </c>
      <c r="AI17" s="229"/>
      <c r="AJ17" s="229"/>
      <c r="AK17" s="229"/>
    </row>
    <row r="18" spans="1:37" ht="14.45" customHeight="1" x14ac:dyDescent="0.25">
      <c r="A18" s="2" t="s">
        <v>47</v>
      </c>
      <c r="B18" s="2"/>
      <c r="C18" s="157">
        <f>IFERROR(C15*C17,0)</f>
        <v>0</v>
      </c>
      <c r="D18" s="5"/>
      <c r="E18" s="5"/>
      <c r="F18" s="5"/>
      <c r="G18" s="5"/>
      <c r="S18" s="14"/>
      <c r="AE18" s="128" t="s">
        <v>437</v>
      </c>
      <c r="AF18" s="278">
        <f t="shared" si="0"/>
        <v>0</v>
      </c>
      <c r="AG18" s="20">
        <f t="shared" si="1"/>
        <v>0</v>
      </c>
      <c r="AI18" s="229"/>
      <c r="AJ18" s="229"/>
      <c r="AK18" s="229"/>
    </row>
    <row r="19" spans="1:37" ht="14.45" customHeight="1" thickBot="1" x14ac:dyDescent="0.3">
      <c r="A19" s="2" t="s">
        <v>48</v>
      </c>
      <c r="B19" s="2"/>
      <c r="C19" s="157">
        <f>G49</f>
        <v>0</v>
      </c>
      <c r="D19" s="5"/>
      <c r="E19" s="5"/>
      <c r="F19" s="5"/>
      <c r="G19" s="5"/>
      <c r="S19" s="14"/>
      <c r="AE19" s="147" t="s">
        <v>105</v>
      </c>
      <c r="AF19" s="277">
        <f>SUM(AF8:AF18)</f>
        <v>1</v>
      </c>
      <c r="AG19" s="149">
        <f>SUM(AG8:AG18)</f>
        <v>43120.835919999998</v>
      </c>
      <c r="AI19" s="229"/>
      <c r="AJ19" s="229"/>
      <c r="AK19" s="229"/>
    </row>
    <row r="20" spans="1:37" ht="14.45" customHeight="1" thickTop="1" x14ac:dyDescent="0.25">
      <c r="A20" s="3" t="s">
        <v>49</v>
      </c>
      <c r="B20" s="3"/>
      <c r="C20" s="151">
        <f>C19-C18</f>
        <v>0</v>
      </c>
      <c r="D20" s="4"/>
      <c r="E20" s="4"/>
      <c r="F20" s="4"/>
      <c r="G20" s="4"/>
      <c r="S20" s="14"/>
      <c r="V20" s="229"/>
      <c r="AE20"/>
      <c r="AF20"/>
      <c r="AG20"/>
      <c r="AI20" s="229"/>
      <c r="AJ20" s="229"/>
      <c r="AK20" s="229"/>
    </row>
    <row r="21" spans="1:37" ht="14.45" customHeight="1" x14ac:dyDescent="0.25">
      <c r="A21" s="3" t="s">
        <v>50</v>
      </c>
      <c r="B21" s="3"/>
      <c r="C21" s="156" t="e">
        <f>C20/C16</f>
        <v>#VALUE!</v>
      </c>
      <c r="D21" s="7"/>
      <c r="M21" s="229"/>
      <c r="N21" s="229"/>
      <c r="O21" s="229"/>
      <c r="P21" s="229"/>
      <c r="S21" s="14"/>
      <c r="AE21"/>
      <c r="AF21"/>
      <c r="AG21"/>
      <c r="AI21" s="229"/>
      <c r="AJ21" s="229"/>
      <c r="AK21" s="229"/>
    </row>
    <row r="22" spans="1:37" ht="14.45" customHeight="1" x14ac:dyDescent="0.25">
      <c r="S22" s="14"/>
      <c r="W22" s="229"/>
      <c r="AE22"/>
      <c r="AF22"/>
      <c r="AG22"/>
      <c r="AI22" s="229"/>
      <c r="AJ22" s="229"/>
      <c r="AK22" s="229"/>
    </row>
    <row r="23" spans="1:37" ht="14.45" customHeight="1" x14ac:dyDescent="0.25">
      <c r="A23" s="16" t="s">
        <v>11</v>
      </c>
      <c r="B23" s="16"/>
      <c r="C23" s="16"/>
      <c r="D23" s="16"/>
      <c r="E23" s="16"/>
      <c r="F23" s="16"/>
      <c r="G23" s="16"/>
      <c r="H23" s="16"/>
      <c r="I23" s="16"/>
      <c r="S23" s="14"/>
      <c r="AE23"/>
      <c r="AF23"/>
      <c r="AG23"/>
      <c r="AI23" s="229"/>
      <c r="AJ23" s="229"/>
      <c r="AK23" s="229"/>
    </row>
    <row r="24" spans="1:37" ht="30.75" customHeight="1" x14ac:dyDescent="0.25">
      <c r="A24" s="158" t="s">
        <v>12</v>
      </c>
      <c r="B24" s="159" t="s">
        <v>13</v>
      </c>
      <c r="C24" s="159" t="s">
        <v>22</v>
      </c>
      <c r="D24" s="159" t="s">
        <v>59</v>
      </c>
      <c r="E24" s="158" t="s">
        <v>21</v>
      </c>
      <c r="F24" s="159" t="s">
        <v>55</v>
      </c>
      <c r="G24" s="159" t="s">
        <v>14</v>
      </c>
      <c r="H24" s="159" t="s">
        <v>116</v>
      </c>
      <c r="I24" s="159" t="s">
        <v>117</v>
      </c>
      <c r="S24" s="298" t="s">
        <v>445</v>
      </c>
      <c r="AE24"/>
      <c r="AF24"/>
      <c r="AG24"/>
      <c r="AI24" s="229"/>
      <c r="AJ24" s="229"/>
      <c r="AK24" s="229"/>
    </row>
    <row r="25" spans="1:37" ht="14.45" customHeight="1" x14ac:dyDescent="0.25">
      <c r="A25" s="160" t="s">
        <v>0</v>
      </c>
      <c r="B25" s="156" t="e">
        <f>SUM(B26:B28)</f>
        <v>#VALUE!</v>
      </c>
      <c r="C25" s="151">
        <f>SUM(C26:C28)</f>
        <v>8652.57</v>
      </c>
      <c r="D25" s="151">
        <f>SUM(D26:D28)</f>
        <v>8652.57</v>
      </c>
      <c r="E25" s="161"/>
      <c r="F25" s="156">
        <f>SUMPRODUCT(C26:C28,F26:F28)/C25</f>
        <v>0</v>
      </c>
      <c r="G25" s="151">
        <f t="shared" ref="G25:G45" si="3">IFERROR(C25*F25,0)</f>
        <v>0</v>
      </c>
      <c r="H25" s="151">
        <f>SUM(H26:H28)</f>
        <v>0</v>
      </c>
      <c r="I25" s="156">
        <f t="shared" ref="I25:I29" si="4">IFERROR(H25/(D25-H25), 0)</f>
        <v>0</v>
      </c>
      <c r="S25" s="15" t="s">
        <v>441</v>
      </c>
      <c r="T25" s="15" t="s">
        <v>442</v>
      </c>
      <c r="U25" s="15" t="s">
        <v>444</v>
      </c>
      <c r="V25" s="15" t="s">
        <v>446</v>
      </c>
      <c r="X25" s="316" t="s">
        <v>444</v>
      </c>
      <c r="Y25" s="316"/>
      <c r="Z25" s="299" cm="1">
        <f t="array" ref="Z25">LOOKUP(2,1/(U28:U40&lt;&gt;""),U28:U40)</f>
        <v>2000</v>
      </c>
      <c r="AE25"/>
      <c r="AF25"/>
      <c r="AG25"/>
      <c r="AI25" s="229"/>
      <c r="AJ25" s="229"/>
      <c r="AK25" s="229"/>
    </row>
    <row r="26" spans="1:37" s="150" customFormat="1" ht="14.45" customHeight="1" x14ac:dyDescent="0.25">
      <c r="A26" s="162" t="s">
        <v>0</v>
      </c>
      <c r="B26" s="163" t="e">
        <f>D26/$D$49</f>
        <v>#VALUE!</v>
      </c>
      <c r="C26" s="152">
        <f>SUM(E131:E136)</f>
        <v>8652.57</v>
      </c>
      <c r="D26" s="152">
        <f>C26</f>
        <v>8652.57</v>
      </c>
      <c r="E26" s="164"/>
      <c r="F26" s="163">
        <f>G26/D26</f>
        <v>0</v>
      </c>
      <c r="G26" s="152">
        <f>SUM(I131:I136)</f>
        <v>0</v>
      </c>
      <c r="H26" s="152"/>
      <c r="I26" s="163">
        <f t="shared" si="4"/>
        <v>0</v>
      </c>
      <c r="S26" s="291"/>
      <c r="T26"/>
      <c r="U26"/>
      <c r="V26"/>
      <c r="AE26"/>
      <c r="AF26"/>
      <c r="AG26"/>
      <c r="AI26" s="229"/>
      <c r="AJ26" s="229"/>
      <c r="AK26" s="229"/>
    </row>
    <row r="27" spans="1:37" s="150" customFormat="1" ht="14.45" customHeight="1" x14ac:dyDescent="0.25">
      <c r="A27" s="162" t="s">
        <v>120</v>
      </c>
      <c r="B27" s="163" t="e">
        <f>D27/$D$49</f>
        <v>#VALUE!</v>
      </c>
      <c r="C27" s="152">
        <f>SUM(E137:E138)</f>
        <v>0</v>
      </c>
      <c r="D27" s="152">
        <f>C27</f>
        <v>0</v>
      </c>
      <c r="E27" s="166"/>
      <c r="F27" s="163">
        <f>IFERROR(G27/D27,0)</f>
        <v>0</v>
      </c>
      <c r="G27" s="152">
        <f>SUM(I137:I138)</f>
        <v>0</v>
      </c>
      <c r="H27" s="152"/>
      <c r="I27" s="163">
        <f t="shared" si="4"/>
        <v>0</v>
      </c>
      <c r="S27" s="291"/>
      <c r="T27"/>
      <c r="U27"/>
      <c r="V27"/>
      <c r="X27" s="316" t="s">
        <v>443</v>
      </c>
      <c r="Y27" s="316"/>
      <c r="AE27"/>
      <c r="AF27"/>
      <c r="AG27"/>
      <c r="AI27" s="229"/>
      <c r="AJ27" s="229"/>
      <c r="AK27" s="229"/>
    </row>
    <row r="28" spans="1:37" s="150" customFormat="1" ht="13.5" x14ac:dyDescent="0.25">
      <c r="A28" s="167" t="s">
        <v>121</v>
      </c>
      <c r="B28" s="168" t="e">
        <f>D28/$D$49</f>
        <v>#VALUE!</v>
      </c>
      <c r="C28" s="169">
        <f>C242</f>
        <v>0</v>
      </c>
      <c r="D28" s="169">
        <f>D242</f>
        <v>0</v>
      </c>
      <c r="E28" s="166"/>
      <c r="F28" s="168">
        <f>F242</f>
        <v>0</v>
      </c>
      <c r="G28" s="169">
        <f t="shared" si="3"/>
        <v>0</v>
      </c>
      <c r="H28" s="169">
        <f>H242</f>
        <v>0</v>
      </c>
      <c r="I28" s="168">
        <f t="shared" si="4"/>
        <v>0</v>
      </c>
      <c r="S28" s="293">
        <f>DATE(2024,12,1)</f>
        <v>45627</v>
      </c>
      <c r="T28" s="294">
        <v>785000</v>
      </c>
      <c r="U28" s="294">
        <v>7000</v>
      </c>
      <c r="V28" s="300"/>
      <c r="Y28" s="292"/>
    </row>
    <row r="29" spans="1:37" s="154" customFormat="1" ht="14.45" customHeight="1" x14ac:dyDescent="0.25">
      <c r="A29" s="160" t="s">
        <v>1</v>
      </c>
      <c r="B29" s="156" t="e">
        <f>SUM(B30:B34)</f>
        <v>#VALUE!</v>
      </c>
      <c r="C29" s="151" t="e">
        <f>SUM(C30:C34)</f>
        <v>#VALUE!</v>
      </c>
      <c r="D29" s="151" t="e">
        <f>SUM(D30:D34)</f>
        <v>#VALUE!</v>
      </c>
      <c r="E29" s="161"/>
      <c r="F29" s="156" t="e">
        <f>SUMPRODUCT(C30:C34,F30:F34)/C29</f>
        <v>#VALUE!</v>
      </c>
      <c r="G29" s="151">
        <f t="shared" si="3"/>
        <v>0</v>
      </c>
      <c r="H29" s="151" t="e">
        <f>SUM(H30:H34)</f>
        <v>#VALUE!</v>
      </c>
      <c r="I29" s="156">
        <f t="shared" si="4"/>
        <v>0</v>
      </c>
      <c r="S29" s="289">
        <f>EDATE(S28,1)</f>
        <v>45658</v>
      </c>
      <c r="T29" s="295">
        <v>780000</v>
      </c>
      <c r="U29" s="295">
        <v>2000</v>
      </c>
      <c r="V29" s="301"/>
      <c r="X29" s="303" t="e">
        <f>(($C$16 - $T$28) - $Z$25) /($T$28)</f>
        <v>#VALUE!</v>
      </c>
      <c r="Y29"/>
      <c r="Z29"/>
      <c r="AA29"/>
      <c r="AB29"/>
      <c r="AC29"/>
      <c r="AD29"/>
      <c r="AE29" s="150"/>
      <c r="AF29" s="150"/>
      <c r="AG29" s="170"/>
    </row>
    <row r="30" spans="1:37" s="150" customFormat="1" ht="14.45" customHeight="1" x14ac:dyDescent="0.25">
      <c r="A30" s="162" t="s">
        <v>26</v>
      </c>
      <c r="B30" s="163" t="e">
        <f>D30/$D$49</f>
        <v>#VALUE!</v>
      </c>
      <c r="C30" s="152" t="e">
        <f>C243</f>
        <v>#VALUE!</v>
      </c>
      <c r="D30" s="152" t="e">
        <f t="shared" ref="D30:F30" si="5">D243</f>
        <v>#VALUE!</v>
      </c>
      <c r="E30" s="166">
        <f t="shared" ca="1" si="5"/>
        <v>0</v>
      </c>
      <c r="F30" s="163">
        <f t="shared" si="5"/>
        <v>0</v>
      </c>
      <c r="G30" s="152">
        <f t="shared" si="3"/>
        <v>0</v>
      </c>
      <c r="H30" s="152" t="e">
        <f>H243</f>
        <v>#VALUE!</v>
      </c>
      <c r="I30" s="163">
        <f>G243</f>
        <v>0</v>
      </c>
      <c r="J30" s="275"/>
      <c r="S30" s="289">
        <f>EDATE(S29,1)</f>
        <v>45689</v>
      </c>
      <c r="T30" s="295">
        <v>800000</v>
      </c>
      <c r="U30" s="295"/>
      <c r="V30" s="301"/>
      <c r="X30" s="290"/>
    </row>
    <row r="31" spans="1:37" s="150" customFormat="1" ht="14.45" customHeight="1" x14ac:dyDescent="0.25">
      <c r="A31" s="162" t="s">
        <v>27</v>
      </c>
      <c r="B31" s="163" t="e">
        <f>D31/$D$49</f>
        <v>#VALUE!</v>
      </c>
      <c r="C31" s="152">
        <f t="shared" ref="C31:F31" si="6">C244</f>
        <v>0</v>
      </c>
      <c r="D31" s="152">
        <f t="shared" si="6"/>
        <v>0</v>
      </c>
      <c r="E31" s="166">
        <f t="shared" ca="1" si="6"/>
        <v>0</v>
      </c>
      <c r="F31" s="163">
        <f t="shared" si="6"/>
        <v>0</v>
      </c>
      <c r="G31" s="152">
        <f t="shared" si="3"/>
        <v>0</v>
      </c>
      <c r="H31" s="152">
        <f t="shared" ref="H31:H34" si="7">H244</f>
        <v>0</v>
      </c>
      <c r="I31" s="163">
        <f>G244</f>
        <v>0</v>
      </c>
      <c r="S31" s="289">
        <f t="shared" ref="S31:S40" si="8">EDATE(S30,1)</f>
        <v>45717</v>
      </c>
      <c r="T31" s="295">
        <v>1000000</v>
      </c>
      <c r="U31" s="295"/>
      <c r="V31" s="301"/>
      <c r="X31" s="290"/>
      <c r="AI31" s="231"/>
    </row>
    <row r="32" spans="1:37" s="150" customFormat="1" ht="14.45" customHeight="1" x14ac:dyDescent="0.25">
      <c r="A32" s="162" t="s">
        <v>123</v>
      </c>
      <c r="B32" s="163" t="e">
        <f>D32/$D$49</f>
        <v>#VALUE!</v>
      </c>
      <c r="C32" s="152">
        <f t="shared" ref="C32:F32" si="9">C245</f>
        <v>0</v>
      </c>
      <c r="D32" s="152">
        <f t="shared" si="9"/>
        <v>0</v>
      </c>
      <c r="E32" s="166" t="str">
        <f t="shared" si="9"/>
        <v>-</v>
      </c>
      <c r="F32" s="163">
        <f t="shared" si="9"/>
        <v>0</v>
      </c>
      <c r="G32" s="152">
        <f t="shared" si="3"/>
        <v>0</v>
      </c>
      <c r="H32" s="152">
        <f t="shared" si="7"/>
        <v>0</v>
      </c>
      <c r="I32" s="163">
        <f t="shared" ref="I32:I49" si="10">IFERROR(H32/(D32-H32), 0)</f>
        <v>0</v>
      </c>
      <c r="S32" s="289">
        <f t="shared" si="8"/>
        <v>45748</v>
      </c>
      <c r="T32" s="295"/>
      <c r="U32" s="295"/>
      <c r="V32" s="301"/>
      <c r="W32" s="154"/>
      <c r="AI32" s="229"/>
    </row>
    <row r="33" spans="1:35" s="150" customFormat="1" ht="14.45" customHeight="1" x14ac:dyDescent="0.25">
      <c r="A33" s="162" t="s">
        <v>124</v>
      </c>
      <c r="B33" s="163" t="e">
        <f>D33/$D$49</f>
        <v>#VALUE!</v>
      </c>
      <c r="C33" s="152">
        <f t="shared" ref="C33:F33" si="11">C246</f>
        <v>0</v>
      </c>
      <c r="D33" s="152">
        <f t="shared" si="11"/>
        <v>0</v>
      </c>
      <c r="E33" s="171" t="str">
        <f t="shared" si="11"/>
        <v>-</v>
      </c>
      <c r="F33" s="163">
        <f t="shared" si="11"/>
        <v>0</v>
      </c>
      <c r="G33" s="152">
        <f t="shared" si="3"/>
        <v>0</v>
      </c>
      <c r="H33" s="152">
        <f t="shared" si="7"/>
        <v>0</v>
      </c>
      <c r="I33" s="163">
        <f t="shared" si="10"/>
        <v>0</v>
      </c>
      <c r="S33" s="289">
        <f t="shared" si="8"/>
        <v>45778</v>
      </c>
      <c r="T33" s="295"/>
      <c r="U33" s="295"/>
      <c r="V33" s="301"/>
      <c r="AI33" s="229"/>
    </row>
    <row r="34" spans="1:35" s="150" customFormat="1" ht="14.45" customHeight="1" x14ac:dyDescent="0.25">
      <c r="A34" s="162" t="s">
        <v>125</v>
      </c>
      <c r="B34" s="168" t="e">
        <f>D34/$D$49</f>
        <v>#VALUE!</v>
      </c>
      <c r="C34" s="169">
        <f t="shared" ref="C34:F34" si="12">C247</f>
        <v>0</v>
      </c>
      <c r="D34" s="169">
        <f t="shared" si="12"/>
        <v>0</v>
      </c>
      <c r="E34" s="166" t="str">
        <f t="shared" si="12"/>
        <v>-</v>
      </c>
      <c r="F34" s="168">
        <f t="shared" si="12"/>
        <v>0</v>
      </c>
      <c r="G34" s="169">
        <f t="shared" si="3"/>
        <v>0</v>
      </c>
      <c r="H34" s="169">
        <f t="shared" si="7"/>
        <v>0</v>
      </c>
      <c r="I34" s="168">
        <f t="shared" si="10"/>
        <v>0</v>
      </c>
      <c r="S34" s="289">
        <f t="shared" si="8"/>
        <v>45809</v>
      </c>
      <c r="T34" s="295"/>
      <c r="U34" s="295"/>
      <c r="V34" s="301"/>
      <c r="AI34" s="229"/>
    </row>
    <row r="35" spans="1:35" s="154" customFormat="1" ht="14.45" customHeight="1" x14ac:dyDescent="0.25">
      <c r="A35" s="160" t="s">
        <v>2</v>
      </c>
      <c r="B35" s="156" t="e">
        <f>SUM(B36:B39)</f>
        <v>#VALUE!</v>
      </c>
      <c r="C35" s="151" t="e">
        <f>SUM(C36:C39)</f>
        <v>#VALUE!</v>
      </c>
      <c r="D35" s="151" t="e">
        <f>SUM(D36:D39)</f>
        <v>#VALUE!</v>
      </c>
      <c r="E35" s="161"/>
      <c r="F35" s="156" t="e">
        <f>SUMPRODUCT(C36:C39,F36:F39)/C35</f>
        <v>#VALUE!</v>
      </c>
      <c r="G35" s="151">
        <f t="shared" si="3"/>
        <v>0</v>
      </c>
      <c r="H35" s="151" t="e">
        <f>SUM(H36:H39)</f>
        <v>#VALUE!</v>
      </c>
      <c r="I35" s="156">
        <f t="shared" si="10"/>
        <v>0</v>
      </c>
      <c r="S35" s="289">
        <f t="shared" si="8"/>
        <v>45839</v>
      </c>
      <c r="T35" s="295"/>
      <c r="U35" s="295"/>
      <c r="V35" s="301"/>
      <c r="W35" s="150"/>
      <c r="X35" s="150"/>
      <c r="AI35" s="229"/>
    </row>
    <row r="36" spans="1:35" s="150" customFormat="1" ht="14.45" customHeight="1" x14ac:dyDescent="0.25">
      <c r="A36" s="162" t="s">
        <v>19</v>
      </c>
      <c r="B36" s="163" t="e">
        <f>D36/$D$49</f>
        <v>#VALUE!</v>
      </c>
      <c r="C36" s="152" t="e">
        <f>C248</f>
        <v>#VALUE!</v>
      </c>
      <c r="D36" s="152" t="e">
        <f t="shared" ref="D36:F36" si="13">D248</f>
        <v>#VALUE!</v>
      </c>
      <c r="E36" s="172" t="str">
        <f t="shared" si="13"/>
        <v>-</v>
      </c>
      <c r="F36" s="163">
        <f t="shared" si="13"/>
        <v>0</v>
      </c>
      <c r="G36" s="152">
        <f t="shared" si="3"/>
        <v>0</v>
      </c>
      <c r="H36" s="152" t="e">
        <f>H248</f>
        <v>#VALUE!</v>
      </c>
      <c r="I36" s="163">
        <f t="shared" si="10"/>
        <v>0</v>
      </c>
      <c r="J36" s="276"/>
      <c r="K36" s="154"/>
      <c r="S36" s="289">
        <f t="shared" si="8"/>
        <v>45870</v>
      </c>
      <c r="T36" s="295"/>
      <c r="U36" s="295"/>
      <c r="V36" s="301"/>
      <c r="AI36" s="229"/>
    </row>
    <row r="37" spans="1:35" s="150" customFormat="1" ht="14.45" customHeight="1" x14ac:dyDescent="0.25">
      <c r="A37" s="162" t="s">
        <v>20</v>
      </c>
      <c r="B37" s="163" t="e">
        <f>D37/$D$49</f>
        <v>#VALUE!</v>
      </c>
      <c r="C37" s="152">
        <f t="shared" ref="C37:F37" si="14">C249</f>
        <v>0</v>
      </c>
      <c r="D37" s="152">
        <f t="shared" si="14"/>
        <v>0</v>
      </c>
      <c r="E37" s="150" t="str">
        <f t="shared" si="14"/>
        <v>-</v>
      </c>
      <c r="F37" s="163">
        <f t="shared" si="14"/>
        <v>0</v>
      </c>
      <c r="G37" s="152">
        <f t="shared" si="3"/>
        <v>0</v>
      </c>
      <c r="H37" s="152">
        <f t="shared" ref="H37:H39" si="15">H249</f>
        <v>0</v>
      </c>
      <c r="I37" s="163">
        <f t="shared" si="10"/>
        <v>0</v>
      </c>
      <c r="S37" s="289">
        <f t="shared" si="8"/>
        <v>45901</v>
      </c>
      <c r="T37" s="295"/>
      <c r="U37" s="295"/>
      <c r="V37" s="301"/>
      <c r="AI37" s="229"/>
    </row>
    <row r="38" spans="1:35" s="150" customFormat="1" ht="14.45" customHeight="1" x14ac:dyDescent="0.25">
      <c r="A38" s="162" t="s">
        <v>126</v>
      </c>
      <c r="B38" s="163" t="e">
        <f>D38/$D$49</f>
        <v>#VALUE!</v>
      </c>
      <c r="C38" s="152">
        <f t="shared" ref="C38:F38" si="16">C250</f>
        <v>0</v>
      </c>
      <c r="D38" s="152">
        <f t="shared" si="16"/>
        <v>0</v>
      </c>
      <c r="E38" s="150" t="str">
        <f t="shared" si="16"/>
        <v>-</v>
      </c>
      <c r="F38" s="163">
        <f t="shared" si="16"/>
        <v>0</v>
      </c>
      <c r="G38" s="152">
        <f t="shared" si="3"/>
        <v>0</v>
      </c>
      <c r="H38" s="152">
        <f t="shared" si="15"/>
        <v>0</v>
      </c>
      <c r="I38" s="163">
        <f t="shared" si="10"/>
        <v>0</v>
      </c>
      <c r="S38" s="289">
        <f t="shared" si="8"/>
        <v>45931</v>
      </c>
      <c r="T38" s="295"/>
      <c r="U38" s="295"/>
      <c r="V38" s="301"/>
      <c r="AI38" s="229"/>
    </row>
    <row r="39" spans="1:35" s="150" customFormat="1" ht="14.45" customHeight="1" x14ac:dyDescent="0.25">
      <c r="A39" s="162" t="s">
        <v>127</v>
      </c>
      <c r="B39" s="168" t="e">
        <f>D39/$D$49</f>
        <v>#VALUE!</v>
      </c>
      <c r="C39" s="169">
        <f t="shared" ref="C39:F39" si="17">C251</f>
        <v>0</v>
      </c>
      <c r="D39" s="169">
        <f t="shared" si="17"/>
        <v>0</v>
      </c>
      <c r="E39" s="150" t="str">
        <f t="shared" si="17"/>
        <v>-</v>
      </c>
      <c r="F39" s="168">
        <f t="shared" si="17"/>
        <v>0</v>
      </c>
      <c r="G39" s="169">
        <f t="shared" si="3"/>
        <v>0</v>
      </c>
      <c r="H39" s="169">
        <f t="shared" si="15"/>
        <v>0</v>
      </c>
      <c r="I39" s="168">
        <f t="shared" si="10"/>
        <v>0</v>
      </c>
      <c r="S39" s="289">
        <f t="shared" si="8"/>
        <v>45962</v>
      </c>
      <c r="T39" s="295"/>
      <c r="U39" s="295"/>
      <c r="V39" s="301"/>
      <c r="AI39" s="229"/>
    </row>
    <row r="40" spans="1:35" s="150" customFormat="1" ht="14.45" customHeight="1" x14ac:dyDescent="0.25">
      <c r="A40" s="160" t="s">
        <v>3</v>
      </c>
      <c r="B40" s="173" t="e">
        <f>SUM(B41:B47)</f>
        <v>#VALUE!</v>
      </c>
      <c r="C40" s="174">
        <f>SUM(C41:C47)</f>
        <v>0</v>
      </c>
      <c r="D40" s="174">
        <f>SUM(D41:D47)</f>
        <v>0</v>
      </c>
      <c r="E40" s="161"/>
      <c r="F40" s="173">
        <f>IFERROR(SUMPRODUCT(C41:C47,F41:F47)/C40,0)</f>
        <v>0</v>
      </c>
      <c r="G40" s="174">
        <f t="shared" si="3"/>
        <v>0</v>
      </c>
      <c r="H40" s="174">
        <f>SUM(H41:H47)</f>
        <v>0</v>
      </c>
      <c r="I40" s="173">
        <f t="shared" si="10"/>
        <v>0</v>
      </c>
      <c r="S40" s="296">
        <f t="shared" si="8"/>
        <v>45992</v>
      </c>
      <c r="T40" s="297"/>
      <c r="U40" s="297"/>
      <c r="V40" s="302"/>
      <c r="AI40" s="229"/>
    </row>
    <row r="41" spans="1:35" s="150" customFormat="1" ht="14.45" customHeight="1" x14ac:dyDescent="0.25">
      <c r="A41" s="162" t="s">
        <v>10</v>
      </c>
      <c r="B41" s="163" t="e">
        <f t="shared" ref="B41:B47" si="18">D41/$D$49</f>
        <v>#VALUE!</v>
      </c>
      <c r="C41" s="152">
        <f>C252</f>
        <v>0</v>
      </c>
      <c r="D41" s="152">
        <f>D252</f>
        <v>0</v>
      </c>
      <c r="E41" s="175" t="str">
        <f>E252</f>
        <v>-</v>
      </c>
      <c r="F41" s="163">
        <f>F252</f>
        <v>0</v>
      </c>
      <c r="G41" s="152">
        <f t="shared" si="3"/>
        <v>0</v>
      </c>
      <c r="H41" s="152">
        <f>H252</f>
        <v>0</v>
      </c>
      <c r="I41" s="163">
        <f t="shared" si="10"/>
        <v>0</v>
      </c>
      <c r="S41" s="165"/>
      <c r="AI41" s="229"/>
    </row>
    <row r="42" spans="1:35" s="150" customFormat="1" ht="14.45" customHeight="1" x14ac:dyDescent="0.25">
      <c r="A42" s="162" t="s">
        <v>128</v>
      </c>
      <c r="B42" s="163" t="e">
        <f t="shared" si="18"/>
        <v>#VALUE!</v>
      </c>
      <c r="C42" s="152">
        <f t="shared" ref="C42:F42" si="19">C253</f>
        <v>0</v>
      </c>
      <c r="D42" s="152">
        <f t="shared" si="19"/>
        <v>0</v>
      </c>
      <c r="E42" s="175" t="str">
        <f t="shared" si="19"/>
        <v>-</v>
      </c>
      <c r="F42" s="163">
        <f t="shared" si="19"/>
        <v>0</v>
      </c>
      <c r="G42" s="152">
        <f t="shared" si="3"/>
        <v>0</v>
      </c>
      <c r="H42" s="152">
        <f t="shared" ref="H42:H44" si="20">H253</f>
        <v>0</v>
      </c>
      <c r="I42" s="163">
        <f t="shared" si="10"/>
        <v>0</v>
      </c>
      <c r="S42" s="165"/>
      <c r="AI42" s="229"/>
    </row>
    <row r="43" spans="1:35" s="150" customFormat="1" ht="14.45" customHeight="1" x14ac:dyDescent="0.25">
      <c r="A43" s="162" t="s">
        <v>227</v>
      </c>
      <c r="B43" s="163" t="e">
        <f t="shared" si="18"/>
        <v>#VALUE!</v>
      </c>
      <c r="C43" s="152">
        <f t="shared" ref="C43:F44" si="21">C254</f>
        <v>0</v>
      </c>
      <c r="D43" s="152">
        <f t="shared" si="21"/>
        <v>0</v>
      </c>
      <c r="E43" s="175" t="str">
        <f t="shared" si="21"/>
        <v>-</v>
      </c>
      <c r="F43" s="163">
        <f t="shared" si="21"/>
        <v>0</v>
      </c>
      <c r="G43" s="152">
        <f t="shared" si="3"/>
        <v>0</v>
      </c>
      <c r="H43" s="152">
        <f t="shared" si="20"/>
        <v>0</v>
      </c>
      <c r="I43" s="163">
        <f t="shared" si="10"/>
        <v>0</v>
      </c>
      <c r="S43" s="165"/>
      <c r="AI43" s="229"/>
    </row>
    <row r="44" spans="1:35" s="150" customFormat="1" ht="14.45" customHeight="1" x14ac:dyDescent="0.25">
      <c r="A44" s="162" t="s">
        <v>228</v>
      </c>
      <c r="B44" s="163" t="e">
        <f t="shared" si="18"/>
        <v>#VALUE!</v>
      </c>
      <c r="C44" s="152">
        <f t="shared" ref="C44:F44" si="22">C255</f>
        <v>0</v>
      </c>
      <c r="D44" s="152">
        <f t="shared" si="21"/>
        <v>0</v>
      </c>
      <c r="E44" s="175" t="str">
        <f t="shared" si="22"/>
        <v>-</v>
      </c>
      <c r="F44" s="163">
        <f t="shared" si="22"/>
        <v>0</v>
      </c>
      <c r="G44" s="152">
        <f t="shared" si="3"/>
        <v>0</v>
      </c>
      <c r="H44" s="152">
        <f t="shared" si="20"/>
        <v>0</v>
      </c>
      <c r="I44" s="163">
        <f t="shared" si="10"/>
        <v>0</v>
      </c>
      <c r="S44" s="165"/>
      <c r="AI44" s="229"/>
    </row>
    <row r="45" spans="1:35" s="150" customFormat="1" ht="14.45" customHeight="1" x14ac:dyDescent="0.25">
      <c r="A45" s="162" t="s">
        <v>129</v>
      </c>
      <c r="B45" s="163" t="e">
        <f t="shared" si="18"/>
        <v>#VALUE!</v>
      </c>
      <c r="C45" s="152">
        <f>S188</f>
        <v>0</v>
      </c>
      <c r="D45" s="152">
        <f>O188</f>
        <v>0</v>
      </c>
      <c r="E45" s="176"/>
      <c r="F45" s="163">
        <f>I188</f>
        <v>0</v>
      </c>
      <c r="G45" s="152">
        <f t="shared" si="3"/>
        <v>0</v>
      </c>
      <c r="H45" s="152">
        <f>P188</f>
        <v>0</v>
      </c>
      <c r="I45" s="163">
        <f t="shared" si="10"/>
        <v>0</v>
      </c>
      <c r="S45" s="165"/>
      <c r="AI45" s="229"/>
    </row>
    <row r="46" spans="1:35" s="150" customFormat="1" ht="14.45" customHeight="1" x14ac:dyDescent="0.25">
      <c r="A46" s="162" t="s">
        <v>130</v>
      </c>
      <c r="B46" s="168" t="e">
        <f t="shared" si="18"/>
        <v>#VALUE!</v>
      </c>
      <c r="C46" s="169">
        <f>F208</f>
        <v>0</v>
      </c>
      <c r="D46" s="169">
        <f>O208</f>
        <v>0</v>
      </c>
      <c r="E46" s="176"/>
      <c r="F46" s="168">
        <f>G208</f>
        <v>0</v>
      </c>
      <c r="G46" s="169">
        <f>IFERROR(C46*F46,0)</f>
        <v>0</v>
      </c>
      <c r="H46" s="169">
        <f>Q208</f>
        <v>0</v>
      </c>
      <c r="I46" s="168">
        <f t="shared" si="10"/>
        <v>0</v>
      </c>
      <c r="S46" s="165"/>
      <c r="AI46" s="229"/>
    </row>
    <row r="47" spans="1:35" s="150" customFormat="1" ht="14.45" hidden="1" customHeight="1" x14ac:dyDescent="0.25">
      <c r="A47" s="177" t="s">
        <v>131</v>
      </c>
      <c r="B47" s="163" t="e">
        <f t="shared" si="18"/>
        <v>#VALUE!</v>
      </c>
      <c r="C47" s="152">
        <f>V266</f>
        <v>0</v>
      </c>
      <c r="D47" s="152">
        <f>G266</f>
        <v>0</v>
      </c>
      <c r="E47" s="178"/>
      <c r="F47" s="163">
        <f>R266</f>
        <v>0</v>
      </c>
      <c r="G47" s="152">
        <f t="shared" ref="G47" si="23">IFERROR(C47*F47,0)</f>
        <v>0</v>
      </c>
      <c r="H47" s="152">
        <f>H266</f>
        <v>0</v>
      </c>
      <c r="I47" s="163">
        <f t="shared" si="10"/>
        <v>0</v>
      </c>
      <c r="S47" s="165"/>
      <c r="AI47" s="229"/>
    </row>
    <row r="48" spans="1:35" s="150" customFormat="1" ht="14.45" customHeight="1" x14ac:dyDescent="0.25">
      <c r="A48" s="160" t="s">
        <v>316</v>
      </c>
      <c r="B48" s="168"/>
      <c r="C48" s="179"/>
      <c r="D48" s="179"/>
      <c r="E48" s="180"/>
      <c r="F48" s="168"/>
      <c r="G48" s="179">
        <f>M221</f>
        <v>0</v>
      </c>
      <c r="H48" s="179">
        <f>N221</f>
        <v>0</v>
      </c>
      <c r="I48" s="168"/>
      <c r="S48" s="165"/>
      <c r="AI48" s="229"/>
    </row>
    <row r="49" spans="1:35" ht="14.45" customHeight="1" thickBot="1" x14ac:dyDescent="0.3">
      <c r="A49" s="181" t="s">
        <v>15</v>
      </c>
      <c r="B49" s="182" t="e">
        <f>B40+B35+B29+B25</f>
        <v>#VALUE!</v>
      </c>
      <c r="C49" s="183" t="e">
        <f>C25+C29+C35+C40</f>
        <v>#VALUE!</v>
      </c>
      <c r="D49" s="183" t="e">
        <f>D25+D29+D35+D40</f>
        <v>#VALUE!</v>
      </c>
      <c r="E49" s="184"/>
      <c r="F49" s="182" t="e">
        <f>(C25*F25+C29*F29+C35*F35+C40*F40)/C49</f>
        <v>#VALUE!</v>
      </c>
      <c r="G49" s="183">
        <f>G25+G29+G35+G40+G48</f>
        <v>0</v>
      </c>
      <c r="H49" s="183" t="e">
        <f>H25+H29+H35+H40+H48</f>
        <v>#VALUE!</v>
      </c>
      <c r="I49" s="182">
        <f t="shared" si="10"/>
        <v>0</v>
      </c>
      <c r="S49" s="14"/>
      <c r="AI49" s="229"/>
    </row>
    <row r="50" spans="1:35" ht="14.45" customHeight="1" thickTop="1" x14ac:dyDescent="0.25">
      <c r="A50" s="3"/>
      <c r="B50" s="185"/>
      <c r="C50" s="2"/>
      <c r="D50" s="2"/>
      <c r="E50" s="186"/>
      <c r="F50" s="186"/>
      <c r="G50" s="187"/>
      <c r="S50" s="247" t="s">
        <v>378</v>
      </c>
      <c r="T50" s="247"/>
      <c r="V50"/>
      <c r="AI50" s="229"/>
    </row>
    <row r="51" spans="1:35" ht="14.45" customHeight="1" x14ac:dyDescent="0.25">
      <c r="A51" s="21" t="s">
        <v>132</v>
      </c>
      <c r="B51" s="21"/>
      <c r="C51" s="21"/>
      <c r="D51" s="21"/>
      <c r="E51" s="21"/>
      <c r="F51" s="21"/>
      <c r="G51" s="21"/>
      <c r="H51" s="21" t="s">
        <v>315</v>
      </c>
      <c r="I51" s="21" t="s">
        <v>134</v>
      </c>
      <c r="J51" s="229"/>
      <c r="K51" s="229"/>
      <c r="S51" s="21" t="s">
        <v>134</v>
      </c>
    </row>
    <row r="52" spans="1:35" ht="14.45" customHeight="1" x14ac:dyDescent="0.25">
      <c r="A52" s="2" t="s">
        <v>135</v>
      </c>
      <c r="B52" s="2"/>
      <c r="C52" s="2"/>
      <c r="D52" s="2"/>
      <c r="E52" s="2"/>
      <c r="F52" s="2"/>
      <c r="G52" s="2"/>
      <c r="H52" s="272" t="e">
        <f>(G139*E139+AY150*O150+AY158*O158+AY170*O170+AY179*O179+AY188*O188+AY208*O208+AY214*H214+AY266*G266)/(E139+O150+O158+O170+O179+O188+O208+H214+G266)</f>
        <v>#VALUE!</v>
      </c>
      <c r="I52" s="272">
        <f>S52</f>
        <v>3</v>
      </c>
      <c r="J52" s="229"/>
      <c r="K52" s="229"/>
      <c r="S52" s="188">
        <v>3</v>
      </c>
    </row>
    <row r="53" spans="1:35" ht="14.45" customHeight="1" x14ac:dyDescent="0.25">
      <c r="A53" s="2" t="s">
        <v>136</v>
      </c>
      <c r="B53" s="2"/>
      <c r="C53" s="2"/>
      <c r="D53" s="2"/>
      <c r="E53" s="2"/>
      <c r="F53" s="2"/>
      <c r="H53" s="273" t="e">
        <f>MAX(R147:R149,R155:R157,R163:R169,R175:R178,R187:R187,R193:R207,J213:J213,I264:I265)</f>
        <v>#VALUE!</v>
      </c>
      <c r="I53" s="189" t="s">
        <v>380</v>
      </c>
      <c r="J53" s="229"/>
      <c r="K53" s="229"/>
      <c r="S53" s="189">
        <v>0.1</v>
      </c>
    </row>
    <row r="54" spans="1:35" ht="14.45" customHeight="1" x14ac:dyDescent="0.25">
      <c r="A54" s="2" t="s">
        <v>137</v>
      </c>
      <c r="B54" s="2"/>
      <c r="C54" s="2"/>
      <c r="D54" s="2"/>
      <c r="E54" s="2"/>
      <c r="F54" s="2"/>
      <c r="H54" s="189" t="e">
        <f>C15/C14</f>
        <v>#VALUE!</v>
      </c>
      <c r="I54" s="189" t="s">
        <v>381</v>
      </c>
      <c r="J54" s="229"/>
      <c r="K54" s="229"/>
      <c r="S54" s="189">
        <v>0.5</v>
      </c>
    </row>
    <row r="55" spans="1:35" ht="14.45" customHeight="1" x14ac:dyDescent="0.25">
      <c r="A55" s="2" t="s">
        <v>138</v>
      </c>
      <c r="B55" s="2"/>
      <c r="C55" s="2"/>
      <c r="D55" s="2"/>
      <c r="E55" s="2"/>
      <c r="F55" s="2"/>
      <c r="H55" s="189" t="e">
        <f>(J139*E139+AX150*O150+AX158*O158+AX170*O170+AX179*O179+AX188*O188+AX208*O208+AX214*H214+AX266*G266)/(E139+O150+O158+O170+O179+O188+O208+H214+G266)-(K221/D49)-(B228/D49)</f>
        <v>#VALUE!</v>
      </c>
      <c r="I55" s="189"/>
      <c r="J55" s="229"/>
      <c r="K55" s="229"/>
      <c r="S55" s="189"/>
    </row>
    <row r="56" spans="1:35" ht="14.45" customHeight="1" x14ac:dyDescent="0.25">
      <c r="A56" s="315" t="s">
        <v>384</v>
      </c>
      <c r="B56" s="315"/>
      <c r="C56" s="315"/>
      <c r="D56" s="2"/>
      <c r="E56" s="2"/>
      <c r="F56" s="2"/>
      <c r="H56" s="189" t="e">
        <f>H55-H54</f>
        <v>#VALUE!</v>
      </c>
      <c r="I56" s="189" t="s">
        <v>382</v>
      </c>
      <c r="J56" s="229"/>
      <c r="K56" s="229"/>
      <c r="S56" s="189">
        <v>0.15</v>
      </c>
    </row>
    <row r="57" spans="1:35" ht="14.45" customHeight="1" x14ac:dyDescent="0.25">
      <c r="A57" s="315" t="s">
        <v>140</v>
      </c>
      <c r="B57" s="315"/>
      <c r="C57" s="315"/>
      <c r="D57" s="315"/>
      <c r="E57" s="315"/>
      <c r="F57" s="315"/>
      <c r="H57" s="189" t="e">
        <f>B31+B33+B34+B39+B42+B45+B46+AJ150</f>
        <v>#VALUE!</v>
      </c>
      <c r="I57" s="190" t="s">
        <v>383</v>
      </c>
      <c r="J57" s="229"/>
      <c r="K57" s="229"/>
      <c r="S57" s="190">
        <v>0.25</v>
      </c>
    </row>
    <row r="58" spans="1:35" ht="14.45" customHeight="1" x14ac:dyDescent="0.25">
      <c r="A58" s="321" t="s">
        <v>335</v>
      </c>
      <c r="B58" s="321"/>
      <c r="C58" s="314" t="s">
        <v>379</v>
      </c>
      <c r="D58" s="314"/>
      <c r="E58" s="314"/>
      <c r="F58" s="314"/>
      <c r="H58" s="136"/>
      <c r="I58" s="136"/>
      <c r="S58" s="136"/>
    </row>
    <row r="59" spans="1:35" ht="14.45" customHeight="1" x14ac:dyDescent="0.25">
      <c r="A59" s="21" t="s">
        <v>141</v>
      </c>
      <c r="B59" s="22">
        <v>-0.1</v>
      </c>
      <c r="C59" s="21"/>
      <c r="D59" s="21"/>
      <c r="E59" s="21"/>
      <c r="F59" s="21"/>
      <c r="G59" s="21"/>
      <c r="H59" s="135" t="s">
        <v>133</v>
      </c>
      <c r="I59" s="21" t="s">
        <v>134</v>
      </c>
      <c r="S59" s="21" t="s">
        <v>134</v>
      </c>
    </row>
    <row r="60" spans="1:35" ht="14.45" customHeight="1" x14ac:dyDescent="0.25">
      <c r="A60" s="2" t="s">
        <v>137</v>
      </c>
      <c r="B60" s="23"/>
      <c r="C60" s="2"/>
      <c r="D60" s="2"/>
      <c r="E60" s="2"/>
      <c r="F60" s="2"/>
      <c r="G60" s="2"/>
      <c r="H60" s="189" t="e">
        <f>C15/(C14*(1+B59))</f>
        <v>#VALUE!</v>
      </c>
      <c r="I60" s="189" t="str">
        <f>I54</f>
        <v>&lt;50%</v>
      </c>
      <c r="S60" s="189">
        <f>S54</f>
        <v>0.5</v>
      </c>
    </row>
    <row r="61" spans="1:35" ht="14.45" customHeight="1" x14ac:dyDescent="0.25">
      <c r="A61" s="2" t="s">
        <v>139</v>
      </c>
      <c r="B61" s="2"/>
      <c r="C61" s="2"/>
      <c r="D61" s="2"/>
      <c r="E61" s="2"/>
      <c r="F61" s="2"/>
      <c r="H61" s="189" t="e">
        <f>H55-H60</f>
        <v>#VALUE!</v>
      </c>
      <c r="I61" s="189" t="str">
        <f>I56</f>
        <v>&gt;15%</v>
      </c>
      <c r="S61" s="189">
        <f>S56</f>
        <v>0.15</v>
      </c>
    </row>
    <row r="62" spans="1:35" ht="14.45" customHeight="1" x14ac:dyDescent="0.25">
      <c r="A62" s="315" t="s">
        <v>142</v>
      </c>
      <c r="B62" s="315"/>
      <c r="C62" s="2"/>
      <c r="D62" s="2"/>
      <c r="E62" s="2"/>
      <c r="F62" s="2"/>
      <c r="G62" s="2"/>
      <c r="H62" s="7"/>
      <c r="S62" s="14"/>
    </row>
    <row r="63" spans="1:35" ht="14.45" customHeight="1" x14ac:dyDescent="0.25">
      <c r="A63" s="3"/>
      <c r="B63" s="185"/>
      <c r="C63" s="2"/>
      <c r="D63" s="2"/>
      <c r="E63" s="186"/>
      <c r="F63" s="186"/>
      <c r="G63" s="187"/>
      <c r="S63" s="14"/>
    </row>
    <row r="64" spans="1:35" ht="14.45" customHeight="1" x14ac:dyDescent="0.25">
      <c r="A64" s="3"/>
      <c r="B64" s="185"/>
      <c r="C64" s="2"/>
      <c r="D64" s="2"/>
      <c r="E64" s="186"/>
      <c r="F64" s="186"/>
      <c r="G64" s="187"/>
      <c r="S64" s="14"/>
    </row>
    <row r="65" spans="1:37" ht="14.45" customHeight="1" x14ac:dyDescent="0.25">
      <c r="A65" s="3"/>
      <c r="B65" s="185"/>
      <c r="C65" s="2"/>
      <c r="D65" s="2"/>
      <c r="E65" s="186"/>
      <c r="F65" s="186"/>
      <c r="G65" s="187"/>
      <c r="S65" s="14"/>
    </row>
    <row r="66" spans="1:37" ht="14.45" customHeight="1" x14ac:dyDescent="0.25">
      <c r="S66" s="14"/>
    </row>
    <row r="72" spans="1:37" ht="14.45" customHeight="1" x14ac:dyDescent="0.25">
      <c r="A72" s="191" t="s">
        <v>314</v>
      </c>
      <c r="B72" s="191"/>
      <c r="C72" s="191"/>
      <c r="F72" s="229"/>
    </row>
    <row r="73" spans="1:37" ht="30.75" customHeight="1" x14ac:dyDescent="0.25">
      <c r="A73" s="159" t="s">
        <v>12</v>
      </c>
      <c r="B73" s="159" t="s">
        <v>312</v>
      </c>
      <c r="C73" s="159" t="s">
        <v>311</v>
      </c>
      <c r="D73"/>
      <c r="E73"/>
      <c r="F73"/>
      <c r="G73"/>
      <c r="H73"/>
      <c r="I73"/>
      <c r="R73"/>
      <c r="S73"/>
      <c r="AE73"/>
      <c r="AF73"/>
      <c r="AG73"/>
      <c r="AI73" s="229"/>
      <c r="AJ73" s="229"/>
      <c r="AK73" s="229"/>
    </row>
    <row r="74" spans="1:37" ht="14.45" customHeight="1" x14ac:dyDescent="0.25">
      <c r="A74" s="192" t="str">
        <f t="shared" ref="A74:B76" si="24">A26</f>
        <v>Cash</v>
      </c>
      <c r="B74" s="189" t="e">
        <f t="shared" si="24"/>
        <v>#VALUE!</v>
      </c>
      <c r="C74" s="310" t="s">
        <v>317</v>
      </c>
      <c r="F74" s="229"/>
      <c r="G74"/>
    </row>
    <row r="75" spans="1:37" ht="14.45" customHeight="1" x14ac:dyDescent="0.25">
      <c r="A75" s="192" t="str">
        <f t="shared" si="24"/>
        <v>Fiduciary Deposits</v>
      </c>
      <c r="B75" s="189" t="e">
        <f t="shared" si="24"/>
        <v>#VALUE!</v>
      </c>
      <c r="C75" s="311"/>
      <c r="E75" s="150"/>
      <c r="F75" s="229"/>
      <c r="G75"/>
    </row>
    <row r="76" spans="1:37" ht="14.45" customHeight="1" x14ac:dyDescent="0.25">
      <c r="A76" s="192" t="str">
        <f t="shared" si="24"/>
        <v>Cash Management Solutions (100% Cap Protected FRN)</v>
      </c>
      <c r="B76" s="189" t="e">
        <f t="shared" si="24"/>
        <v>#VALUE!</v>
      </c>
      <c r="C76" s="311"/>
      <c r="E76" s="150"/>
      <c r="F76" s="229"/>
    </row>
    <row r="77" spans="1:37" ht="14.45" customHeight="1" x14ac:dyDescent="0.25">
      <c r="A77" s="193" t="str" cm="1">
        <f t="array" ref="A77:A81">A30:A34</f>
        <v>Single line Bonds ex Cocos</v>
      </c>
      <c r="B77" s="189" t="e" cm="1">
        <f t="array" ref="B77:B81">B30:B34</f>
        <v>#VALUE!</v>
      </c>
      <c r="C77" s="311"/>
      <c r="E77" s="150"/>
      <c r="F77" s="229"/>
    </row>
    <row r="78" spans="1:37" ht="14.45" customHeight="1" x14ac:dyDescent="0.25">
      <c r="A78" s="193" t="str">
        <v>Single line Bonds Cocos</v>
      </c>
      <c r="B78" s="189" t="e">
        <v>#VALUE!</v>
      </c>
      <c r="C78" s="311"/>
      <c r="E78" s="154"/>
      <c r="F78" s="229"/>
    </row>
    <row r="79" spans="1:37" ht="14.45" customHeight="1" x14ac:dyDescent="0.25">
      <c r="A79" s="194" t="str">
        <v>FI Bond Funds/ ETFs</v>
      </c>
      <c r="B79" s="189" t="e">
        <v>#VALUE!</v>
      </c>
      <c r="C79" s="311"/>
      <c r="E79" s="150"/>
      <c r="F79" s="229"/>
    </row>
    <row r="80" spans="1:37" ht="14.45" customHeight="1" x14ac:dyDescent="0.25">
      <c r="A80" s="194" t="str">
        <v>Credit Linked Notes</v>
      </c>
      <c r="B80" s="189" t="e">
        <v>#VALUE!</v>
      </c>
      <c r="C80" s="311"/>
      <c r="E80" s="150"/>
      <c r="F80" s="229"/>
    </row>
    <row r="81" spans="1:6" ht="14.45" customHeight="1" x14ac:dyDescent="0.25">
      <c r="A81" s="150" t="str">
        <v>Rates Linked Notes</v>
      </c>
      <c r="B81" s="189" t="e">
        <v>#VALUE!</v>
      </c>
      <c r="C81" s="311"/>
      <c r="E81" s="150"/>
      <c r="F81" s="229"/>
    </row>
    <row r="82" spans="1:6" ht="14.45" customHeight="1" x14ac:dyDescent="0.25">
      <c r="A82" s="150" t="str">
        <f>A39</f>
        <v>Equity Linked Str. Products</v>
      </c>
      <c r="B82" s="189" t="e">
        <f>B39</f>
        <v>#VALUE!</v>
      </c>
      <c r="C82" s="311"/>
      <c r="E82" s="150"/>
      <c r="F82" s="229"/>
    </row>
    <row r="83" spans="1:6" ht="14.45" customHeight="1" x14ac:dyDescent="0.25">
      <c r="A83" s="150" t="str">
        <f>A42</f>
        <v>Commodities Linked Str. Products</v>
      </c>
      <c r="B83" s="189" t="e">
        <f>B42</f>
        <v>#VALUE!</v>
      </c>
      <c r="C83" s="320"/>
      <c r="E83" s="150"/>
      <c r="F83" s="229"/>
    </row>
    <row r="84" spans="1:6" ht="14.45" customHeight="1" thickBot="1" x14ac:dyDescent="0.3">
      <c r="A84" s="195"/>
      <c r="B84" s="182" t="e">
        <f>SUM(B74:B83)</f>
        <v>#VALUE!</v>
      </c>
      <c r="C84" s="196"/>
      <c r="E84" s="154"/>
      <c r="F84" s="229"/>
    </row>
    <row r="85" spans="1:6" ht="14.45" customHeight="1" thickTop="1" x14ac:dyDescent="0.25">
      <c r="A85" s="192" t="str">
        <f t="shared" ref="A85:B87" si="25">A36</f>
        <v>Single Line Equity</v>
      </c>
      <c r="B85" s="189" t="e">
        <f t="shared" si="25"/>
        <v>#VALUE!</v>
      </c>
      <c r="C85" s="310" t="s">
        <v>313</v>
      </c>
      <c r="E85" s="150"/>
      <c r="F85" s="229"/>
    </row>
    <row r="86" spans="1:6" ht="14.45" customHeight="1" x14ac:dyDescent="0.25">
      <c r="A86" s="192" t="str">
        <f t="shared" si="25"/>
        <v>Equity Funds/ ETFs</v>
      </c>
      <c r="B86" s="189" t="e">
        <f t="shared" si="25"/>
        <v>#VALUE!</v>
      </c>
      <c r="C86" s="311"/>
      <c r="E86" s="150"/>
      <c r="F86" s="229"/>
    </row>
    <row r="87" spans="1:6" ht="14.45" customHeight="1" x14ac:dyDescent="0.25">
      <c r="A87" s="192" t="str">
        <f t="shared" si="25"/>
        <v>Mixed Allocation Funds</v>
      </c>
      <c r="B87" s="189" t="e">
        <f t="shared" si="25"/>
        <v>#VALUE!</v>
      </c>
      <c r="C87" s="311"/>
      <c r="E87" s="150"/>
      <c r="F87" s="229"/>
    </row>
    <row r="88" spans="1:6" ht="14.45" customHeight="1" x14ac:dyDescent="0.25">
      <c r="A88" s="150" t="str">
        <f>A41</f>
        <v>Commodities &amp; Precious Metals</v>
      </c>
      <c r="B88" s="189" t="e">
        <f>B41</f>
        <v>#VALUE!</v>
      </c>
      <c r="C88" s="311"/>
      <c r="E88" s="150"/>
      <c r="F88" s="229"/>
    </row>
    <row r="89" spans="1:6" ht="14.45" customHeight="1" x14ac:dyDescent="0.25">
      <c r="A89" s="150" t="str">
        <f t="shared" ref="A89:B93" si="26">A43</f>
        <v>Commodity ETFs</v>
      </c>
      <c r="B89" s="189" t="e">
        <f t="shared" si="26"/>
        <v>#VALUE!</v>
      </c>
      <c r="C89" s="311"/>
      <c r="E89" s="150"/>
      <c r="F89" s="229"/>
    </row>
    <row r="90" spans="1:6" ht="14.45" customHeight="1" x14ac:dyDescent="0.25">
      <c r="A90" s="150" t="str">
        <f t="shared" si="26"/>
        <v>Alternative ETFs</v>
      </c>
      <c r="B90" s="189" t="e">
        <f t="shared" si="26"/>
        <v>#VALUE!</v>
      </c>
      <c r="C90" s="311"/>
      <c r="E90" s="150"/>
      <c r="F90" s="229"/>
    </row>
    <row r="91" spans="1:6" ht="14.45" customHeight="1" x14ac:dyDescent="0.25">
      <c r="A91" s="150" t="str">
        <f t="shared" si="26"/>
        <v>Hedge Funds</v>
      </c>
      <c r="B91" s="189" t="e">
        <f t="shared" si="26"/>
        <v>#VALUE!</v>
      </c>
      <c r="C91" s="311"/>
      <c r="E91" s="150"/>
      <c r="F91" s="229"/>
    </row>
    <row r="92" spans="1:6" ht="14.45" customHeight="1" x14ac:dyDescent="0.25">
      <c r="A92" s="150" t="str">
        <f t="shared" si="26"/>
        <v>Private Markets</v>
      </c>
      <c r="B92" s="189" t="e">
        <f t="shared" si="26"/>
        <v>#VALUE!</v>
      </c>
      <c r="C92" s="311"/>
      <c r="E92" s="150"/>
      <c r="F92" s="150"/>
    </row>
    <row r="93" spans="1:6" ht="14.45" hidden="1" customHeight="1" x14ac:dyDescent="0.25">
      <c r="A93" s="150" t="str">
        <f t="shared" si="26"/>
        <v>REITs</v>
      </c>
      <c r="B93" s="189" t="e">
        <f t="shared" si="26"/>
        <v>#VALUE!</v>
      </c>
      <c r="C93" s="311"/>
      <c r="E93" s="150"/>
      <c r="F93" s="150"/>
    </row>
    <row r="94" spans="1:6" ht="14.45" customHeight="1" thickBot="1" x14ac:dyDescent="0.3">
      <c r="A94" s="195"/>
      <c r="B94" s="182" t="e">
        <f>SUM(B85:B91)</f>
        <v>#VALUE!</v>
      </c>
      <c r="C94" s="196"/>
      <c r="E94" s="197"/>
      <c r="F94" s="198"/>
    </row>
    <row r="95" spans="1:6" ht="14.45" customHeight="1" thickTop="1" x14ac:dyDescent="0.25"/>
    <row r="97" spans="1:18" ht="14.45" customHeight="1" x14ac:dyDescent="0.25">
      <c r="A97" s="12" t="s">
        <v>390</v>
      </c>
      <c r="B97" s="12"/>
      <c r="C97" s="12"/>
      <c r="D97" s="12"/>
      <c r="E97" s="12"/>
      <c r="F97" s="12"/>
      <c r="G97" s="12"/>
      <c r="H97" s="12"/>
      <c r="I97" s="12"/>
      <c r="J97" s="12"/>
      <c r="K97" s="12"/>
      <c r="L97" s="12"/>
      <c r="M97" s="12"/>
      <c r="N97" s="12"/>
      <c r="O97" s="12"/>
      <c r="P97" s="12"/>
      <c r="Q97" s="12"/>
      <c r="R97" s="12"/>
    </row>
    <row r="114" spans="1:18" ht="14.45" customHeight="1" x14ac:dyDescent="0.25">
      <c r="A114" s="12" t="s">
        <v>404</v>
      </c>
      <c r="B114" s="12"/>
      <c r="C114" s="12"/>
      <c r="D114" s="12"/>
      <c r="E114" s="12"/>
      <c r="F114" s="12"/>
      <c r="G114" s="12"/>
      <c r="H114" s="12"/>
      <c r="I114" s="12"/>
      <c r="J114" s="12"/>
      <c r="K114" s="12"/>
      <c r="L114" s="12"/>
      <c r="M114" s="12"/>
      <c r="N114" s="12"/>
      <c r="O114" s="12"/>
      <c r="P114" s="12"/>
      <c r="Q114" s="12"/>
      <c r="R114" s="12"/>
    </row>
    <row r="117" spans="1:18" ht="30.75" customHeight="1" x14ac:dyDescent="0.25"/>
    <row r="127" spans="1:18" ht="14.25" customHeight="1" x14ac:dyDescent="0.25">
      <c r="A127" s="162"/>
      <c r="E127" s="209"/>
      <c r="F127" s="210"/>
      <c r="G127" s="211"/>
    </row>
    <row r="128" spans="1:18" ht="14.25" customHeight="1" x14ac:dyDescent="0.25">
      <c r="A128" s="229"/>
      <c r="B128" s="229"/>
      <c r="C128" s="229"/>
      <c r="D128" s="229"/>
      <c r="E128" s="229"/>
      <c r="F128" s="210"/>
      <c r="G128" s="211"/>
    </row>
    <row r="129" spans="1:16" ht="14.25" customHeight="1" x14ac:dyDescent="0.25">
      <c r="A129" s="12" t="s">
        <v>0</v>
      </c>
      <c r="B129" s="12"/>
      <c r="C129" s="12"/>
      <c r="D129" s="12"/>
      <c r="E129" s="12"/>
      <c r="F129" s="12"/>
      <c r="G129" s="12"/>
      <c r="H129" s="12"/>
      <c r="I129" s="12"/>
      <c r="J129" s="12"/>
      <c r="L129" s="307" t="s">
        <v>84</v>
      </c>
      <c r="M129" s="307"/>
      <c r="N129" s="307"/>
      <c r="O129" s="307"/>
      <c r="P129" s="307"/>
    </row>
    <row r="130" spans="1:16" ht="14.25" customHeight="1" x14ac:dyDescent="0.25">
      <c r="A130" s="199" t="s">
        <v>9</v>
      </c>
      <c r="B130" s="199" t="s">
        <v>54</v>
      </c>
      <c r="C130" s="199" t="s">
        <v>143</v>
      </c>
      <c r="D130" s="199" t="s">
        <v>144</v>
      </c>
      <c r="E130" s="199" t="s">
        <v>145</v>
      </c>
      <c r="F130" s="199" t="s">
        <v>146</v>
      </c>
      <c r="G130" s="199" t="s">
        <v>147</v>
      </c>
      <c r="H130" s="199" t="s">
        <v>229</v>
      </c>
      <c r="I130" s="199" t="s">
        <v>230</v>
      </c>
      <c r="J130" s="199" t="s">
        <v>65</v>
      </c>
      <c r="L130" s="15" t="s">
        <v>54</v>
      </c>
      <c r="M130" s="16" t="s">
        <v>87</v>
      </c>
      <c r="N130" s="16" t="s">
        <v>88</v>
      </c>
      <c r="O130" s="16" t="s">
        <v>89</v>
      </c>
      <c r="P130" s="16" t="s">
        <v>90</v>
      </c>
    </row>
    <row r="131" spans="1:16" ht="14.25" customHeight="1" x14ac:dyDescent="0.25">
      <c r="A131" s="24" t="s">
        <v>148</v>
      </c>
      <c r="B131" s="113" t="s">
        <v>66</v>
      </c>
      <c r="C131" s="200">
        <v>8652.57</v>
      </c>
      <c r="D131" s="201">
        <v>0</v>
      </c>
      <c r="E131" s="202">
        <f>IF(B131="USD",C131,(((_xll.BDP(B131&amp;"USD CURNCY","PX_LAST")))*C131))</f>
        <v>8652.57</v>
      </c>
      <c r="F131" s="203" t="e">
        <f t="shared" ref="F131:F138" si="27">E131/$D$49</f>
        <v>#VALUE!</v>
      </c>
      <c r="G131" s="144">
        <v>1</v>
      </c>
      <c r="H131" s="204">
        <f t="shared" ref="H131:H138" si="28">D131*C131</f>
        <v>0</v>
      </c>
      <c r="I131" s="204">
        <f>IF(B131="USD",H131,(((_xll.BDP(B131&amp;"USD CURNCY","PX_LAST")))*H131))</f>
        <v>0</v>
      </c>
      <c r="J131" s="145">
        <v>1</v>
      </c>
      <c r="L131" s="24" t="s">
        <v>66</v>
      </c>
      <c r="M131" s="212">
        <v>0</v>
      </c>
      <c r="N131" s="213">
        <f>M131</f>
        <v>0</v>
      </c>
      <c r="O131" s="143">
        <v>6.4299999999999996E-2</v>
      </c>
      <c r="P131" s="213">
        <f>O131*M131</f>
        <v>0</v>
      </c>
    </row>
    <row r="132" spans="1:16" ht="14.25" customHeight="1" x14ac:dyDescent="0.25">
      <c r="A132" s="24" t="s">
        <v>148</v>
      </c>
      <c r="B132" s="113" t="s">
        <v>67</v>
      </c>
      <c r="C132" s="200">
        <v>0</v>
      </c>
      <c r="D132" s="201">
        <v>0</v>
      </c>
      <c r="E132" s="202">
        <f>IF(B132="USD",C132,(((_xll.BDP(B132&amp;"USD CURNCY","PX_LAST")))*C132))</f>
        <v>0</v>
      </c>
      <c r="F132" s="203" t="e">
        <f t="shared" si="27"/>
        <v>#VALUE!</v>
      </c>
      <c r="G132" s="144">
        <v>1</v>
      </c>
      <c r="H132" s="204">
        <f t="shared" si="28"/>
        <v>0</v>
      </c>
      <c r="I132" s="204">
        <f>IF(B132="USD",H132,(((_xll.BDP(B132&amp;"USD CURNCY","PX_LAST")))*H132))</f>
        <v>0</v>
      </c>
      <c r="J132" s="145">
        <v>1</v>
      </c>
      <c r="L132" s="24" t="s">
        <v>67</v>
      </c>
      <c r="M132" s="212">
        <v>0</v>
      </c>
      <c r="N132" s="213">
        <f>IF(L132="USD",M132,(((_xll.BDP(L132&amp;"USD CURNCY","PX_LAST")))*M132))</f>
        <v>0</v>
      </c>
      <c r="O132" s="143"/>
      <c r="P132" s="213">
        <f>IF(L132="USD",M132*O132,(((_xll.BDP(L132&amp;"USD CURNCY","PX_LAST")))*M132*O132))</f>
        <v>0</v>
      </c>
    </row>
    <row r="133" spans="1:16" ht="14.25" customHeight="1" x14ac:dyDescent="0.25">
      <c r="A133" s="24" t="s">
        <v>148</v>
      </c>
      <c r="B133" s="113" t="s">
        <v>64</v>
      </c>
      <c r="C133" s="200">
        <v>0</v>
      </c>
      <c r="D133" s="201">
        <v>0</v>
      </c>
      <c r="E133" s="202">
        <f>IF(B133="USD",C133,(((_xll.BDP(B133&amp;"USD CURNCY","PX_LAST")))*C133))</f>
        <v>0</v>
      </c>
      <c r="F133" s="203" t="e">
        <f t="shared" si="27"/>
        <v>#VALUE!</v>
      </c>
      <c r="G133" s="144">
        <v>1</v>
      </c>
      <c r="H133" s="204">
        <f t="shared" si="28"/>
        <v>0</v>
      </c>
      <c r="I133" s="204">
        <f>IF(B133="USD",H133,(((_xll.BDP(B133&amp;"USD CURNCY","PX_LAST")))*H133))</f>
        <v>0</v>
      </c>
      <c r="J133" s="145">
        <v>1</v>
      </c>
      <c r="L133" s="24" t="s">
        <v>64</v>
      </c>
      <c r="M133" s="212">
        <v>0</v>
      </c>
      <c r="N133" s="213">
        <f>IF(L133="USD",M133,(((_xll.BDP(L133&amp;"USD CURNCY","PX_LAST")))*M133))</f>
        <v>0</v>
      </c>
      <c r="O133" s="143"/>
      <c r="P133" s="213">
        <f>IF(L133="USD",M133*O133,(((_xll.BDP(L133&amp;"USD CURNCY","PX_LAST")))*M133*O133))</f>
        <v>0</v>
      </c>
    </row>
    <row r="134" spans="1:16" ht="14.25" customHeight="1" x14ac:dyDescent="0.25">
      <c r="A134" s="24" t="s">
        <v>148</v>
      </c>
      <c r="B134" s="113" t="s">
        <v>68</v>
      </c>
      <c r="C134" s="200">
        <v>0</v>
      </c>
      <c r="D134" s="201">
        <v>0</v>
      </c>
      <c r="E134" s="202">
        <f>IF(B134="USD",C134,(((_xll.BDP(B134&amp;"USD CURNCY","PX_LAST")))*C134))</f>
        <v>0</v>
      </c>
      <c r="F134" s="203" t="e">
        <f t="shared" si="27"/>
        <v>#VALUE!</v>
      </c>
      <c r="G134" s="144">
        <v>1</v>
      </c>
      <c r="H134" s="204">
        <f t="shared" si="28"/>
        <v>0</v>
      </c>
      <c r="I134" s="204">
        <f>IF(B134="USD",H134,(((_xll.BDP(B134&amp;"USD CURNCY","PX_LAST")))*H134))</f>
        <v>0</v>
      </c>
      <c r="J134" s="145">
        <v>1</v>
      </c>
      <c r="L134" s="24" t="s">
        <v>101</v>
      </c>
      <c r="M134" s="212">
        <v>0</v>
      </c>
      <c r="N134" s="213">
        <f>IF(L134="USD",M134,(((_xll.BDP(L134&amp;"USD CURNCY","PX_LAST")))*M134))</f>
        <v>0</v>
      </c>
      <c r="O134" s="143"/>
      <c r="P134" s="213">
        <f>IF(L134="USD",M134*O134,(((_xll.BDP(L134&amp;"USD CURNCY","PX_LAST")))*M134*O134))</f>
        <v>0</v>
      </c>
    </row>
    <row r="135" spans="1:16" ht="14.25" customHeight="1" x14ac:dyDescent="0.25">
      <c r="A135" s="24" t="s">
        <v>148</v>
      </c>
      <c r="B135" s="113" t="s">
        <v>69</v>
      </c>
      <c r="C135" s="200">
        <v>0</v>
      </c>
      <c r="D135" s="201">
        <v>0</v>
      </c>
      <c r="E135" s="202">
        <f>IF(B135="USD",C135,(((_xll.BDP(B135&amp;"USD CURNCY","PX_LAST")))*C135))</f>
        <v>0</v>
      </c>
      <c r="F135" s="203" t="e">
        <f t="shared" si="27"/>
        <v>#VALUE!</v>
      </c>
      <c r="G135" s="144">
        <v>1</v>
      </c>
      <c r="H135" s="204">
        <f t="shared" si="28"/>
        <v>0</v>
      </c>
      <c r="I135" s="204">
        <f>IF(B135="USD",H135,(((_xll.BDP(B135&amp;"USD CURNCY","PX_LAST")))*H135))</f>
        <v>0</v>
      </c>
      <c r="J135" s="145">
        <v>1</v>
      </c>
      <c r="L135" s="24" t="s">
        <v>69</v>
      </c>
      <c r="M135" s="212">
        <v>0</v>
      </c>
      <c r="N135" s="213">
        <f>IF(L135="USD",M135,(((_xll.BDP(L135&amp;"USD CURNCY","PX_LAST")))*M135))</f>
        <v>0</v>
      </c>
      <c r="O135" s="143"/>
      <c r="P135" s="213">
        <f>IF(L135="USD",M135*O135,(((_xll.BDP(L135&amp;"USD CURNCY","PX_LAST")))*M135*O135))</f>
        <v>0</v>
      </c>
    </row>
    <row r="136" spans="1:16" ht="14.25" customHeight="1" x14ac:dyDescent="0.25">
      <c r="A136" s="24" t="s">
        <v>148</v>
      </c>
      <c r="B136" s="113" t="s">
        <v>70</v>
      </c>
      <c r="C136" s="200">
        <v>0</v>
      </c>
      <c r="D136" s="201">
        <v>0</v>
      </c>
      <c r="E136" s="202">
        <f>IF(B136="USD",C136,(((_xll.BDP(B136&amp;"USD CURNCY","PX_LAST")))*C136))</f>
        <v>0</v>
      </c>
      <c r="F136" s="203" t="e">
        <f t="shared" si="27"/>
        <v>#VALUE!</v>
      </c>
      <c r="G136" s="144">
        <v>1</v>
      </c>
      <c r="H136" s="204">
        <f t="shared" si="28"/>
        <v>0</v>
      </c>
      <c r="I136" s="204">
        <f>IF(B136="USD",H136,(((_xll.BDP(B136&amp;"USD CURNCY","PX_LAST")))*H136))</f>
        <v>0</v>
      </c>
      <c r="J136" s="145">
        <v>1</v>
      </c>
      <c r="L136" s="24" t="s">
        <v>106</v>
      </c>
      <c r="M136" s="212">
        <v>0</v>
      </c>
      <c r="N136" s="213">
        <f>IF(L136="USD",M136,(((_xll.BDP(L136&amp;"USD CURNCY","PX_LAST")))*M136))</f>
        <v>0</v>
      </c>
      <c r="O136" s="143"/>
      <c r="P136" s="213">
        <f>IF(L136="USD",M136*O136,(((_xll.BDP(L136&amp;"USD CURNCY","PX_LAST")))*M136*O136))</f>
        <v>0</v>
      </c>
    </row>
    <row r="137" spans="1:16" ht="14.25" customHeight="1" x14ac:dyDescent="0.25">
      <c r="A137" s="24" t="s">
        <v>120</v>
      </c>
      <c r="B137" s="113" t="s">
        <v>66</v>
      </c>
      <c r="C137" s="200">
        <v>0</v>
      </c>
      <c r="D137" s="201">
        <v>4.7E-2</v>
      </c>
      <c r="E137" s="202">
        <f>IF(B137="USD",C137,(((_xll.BDP(B137&amp;"USD CURNCY","PX_LAST")))*C137))</f>
        <v>0</v>
      </c>
      <c r="F137" s="203" t="e">
        <f t="shared" si="27"/>
        <v>#VALUE!</v>
      </c>
      <c r="G137" s="144">
        <v>1</v>
      </c>
      <c r="H137" s="204">
        <f t="shared" si="28"/>
        <v>0</v>
      </c>
      <c r="I137" s="204">
        <f>IF(B137="USD",H137,(((_xll.BDP(B137&amp;"USD CURNCY","PX_LAST")))*H137))</f>
        <v>0</v>
      </c>
      <c r="J137" s="145">
        <v>1</v>
      </c>
      <c r="L137" s="24" t="s">
        <v>109</v>
      </c>
      <c r="M137" s="212">
        <v>0</v>
      </c>
      <c r="N137" s="213">
        <f>IF(L137="USD",M137,(((_xll.BDP(L137&amp;"USD CURNCY","PX_LAST")))*M137))</f>
        <v>0</v>
      </c>
      <c r="O137" s="143"/>
      <c r="P137" s="213">
        <f>IF(L137="USD",M137*O137,(((_xll.BDP(L137&amp;"USD CURNCY","PX_LAST")))*M137*O137))</f>
        <v>0</v>
      </c>
    </row>
    <row r="138" spans="1:16" ht="14.25" customHeight="1" x14ac:dyDescent="0.25">
      <c r="A138" s="24" t="s">
        <v>120</v>
      </c>
      <c r="B138" s="113" t="s">
        <v>64</v>
      </c>
      <c r="C138" s="200">
        <v>0</v>
      </c>
      <c r="D138" s="201">
        <v>3.3000000000000002E-2</v>
      </c>
      <c r="E138" s="202">
        <f>IF(B138="USD",C138,(((_xll.BDP(B138&amp;"USD CURNCY","PX_LAST")))*C138))</f>
        <v>0</v>
      </c>
      <c r="F138" s="203" t="e">
        <f t="shared" si="27"/>
        <v>#VALUE!</v>
      </c>
      <c r="G138" s="144">
        <v>1</v>
      </c>
      <c r="H138" s="204">
        <f t="shared" si="28"/>
        <v>0</v>
      </c>
      <c r="I138" s="204">
        <f>IF(B138="USD",H138,(((_xll.BDP(B138&amp;"USD CURNCY","PX_LAST")))*H138))</f>
        <v>0</v>
      </c>
      <c r="J138" s="145">
        <v>1</v>
      </c>
      <c r="L138" s="13" t="s">
        <v>70</v>
      </c>
      <c r="M138" s="212">
        <v>0</v>
      </c>
      <c r="N138" s="213">
        <f>IF(L138="USD",M138,(((_xll.BDP(L138&amp;"USD CURNCY","PX_LAST")))*M138))</f>
        <v>0</v>
      </c>
      <c r="O138" s="143"/>
      <c r="P138" s="213">
        <f>IF(L138="USD",M138*O138,(((_xll.BDP(L138&amp;"USD CURNCY","PX_LAST")))*M138*O138))</f>
        <v>0</v>
      </c>
    </row>
    <row r="139" spans="1:16" ht="18" customHeight="1" thickBot="1" x14ac:dyDescent="0.3">
      <c r="A139" s="205"/>
      <c r="B139" s="195"/>
      <c r="C139" s="206"/>
      <c r="D139" s="195"/>
      <c r="E139" s="183">
        <f>SUM(E131:E138)</f>
        <v>8652.57</v>
      </c>
      <c r="F139" s="182" t="e">
        <f>SUM(F131:F138)</f>
        <v>#VALUE!</v>
      </c>
      <c r="G139" s="207">
        <f>SUMPRODUCT(G131:G138,E131:E138)/E139</f>
        <v>1</v>
      </c>
      <c r="H139" s="183"/>
      <c r="I139" s="183">
        <f>SUMPRODUCT(I131:I138,G131:G138)/G139</f>
        <v>0</v>
      </c>
      <c r="J139" s="208">
        <f>SUMPRODUCT(J131:J138,E131:E138)/E139</f>
        <v>1</v>
      </c>
      <c r="L139" s="155" t="s">
        <v>105</v>
      </c>
      <c r="M139" s="206"/>
      <c r="N139" s="183">
        <f>SUM(N131:N138)</f>
        <v>0</v>
      </c>
      <c r="O139" s="182">
        <f>IFERROR(SUMPRODUCT(O131:O138,N131:N138)/N139,0)</f>
        <v>0</v>
      </c>
      <c r="P139" s="206">
        <f>SUM(P131:P138)</f>
        <v>0</v>
      </c>
    </row>
    <row r="140" spans="1:16" ht="18" customHeight="1" thickTop="1" x14ac:dyDescent="0.25"/>
    <row r="145" spans="1:53" ht="14.45" customHeight="1" x14ac:dyDescent="0.25">
      <c r="A145" s="134" t="s">
        <v>149</v>
      </c>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c r="AA145" s="134"/>
      <c r="AB145" s="134"/>
      <c r="AC145" s="134"/>
      <c r="AD145" s="134"/>
      <c r="AE145" s="134"/>
      <c r="AF145" s="134"/>
      <c r="AG145" s="134"/>
      <c r="AH145" s="134"/>
      <c r="AI145" s="134"/>
      <c r="AJ145" s="134"/>
      <c r="AK145" s="134"/>
    </row>
    <row r="146" spans="1:53" ht="30.75" customHeight="1" x14ac:dyDescent="0.25">
      <c r="A146" s="199" t="s">
        <v>4</v>
      </c>
      <c r="B146" s="199" t="s">
        <v>54</v>
      </c>
      <c r="C146" s="199" t="s">
        <v>8</v>
      </c>
      <c r="D146" s="199" t="s">
        <v>76</v>
      </c>
      <c r="E146" s="214" t="s">
        <v>75</v>
      </c>
      <c r="F146" s="214" t="s">
        <v>150</v>
      </c>
      <c r="G146" s="199" t="s">
        <v>23</v>
      </c>
      <c r="H146" s="199" t="s">
        <v>71</v>
      </c>
      <c r="I146" s="199" t="s">
        <v>77</v>
      </c>
      <c r="J146" s="199" t="s">
        <v>151</v>
      </c>
      <c r="K146" s="199" t="s">
        <v>152</v>
      </c>
      <c r="L146" s="199" t="s">
        <v>153</v>
      </c>
      <c r="M146" s="199" t="s">
        <v>154</v>
      </c>
      <c r="N146" s="199" t="s">
        <v>155</v>
      </c>
      <c r="O146" s="199" t="s">
        <v>333</v>
      </c>
      <c r="P146" s="199" t="s">
        <v>116</v>
      </c>
      <c r="Q146" s="214" t="s">
        <v>157</v>
      </c>
      <c r="R146" s="199" t="s">
        <v>146</v>
      </c>
      <c r="S146" s="199" t="s">
        <v>158</v>
      </c>
      <c r="T146" s="199" t="s">
        <v>16</v>
      </c>
      <c r="U146" s="199" t="s">
        <v>159</v>
      </c>
      <c r="V146" s="199" t="s">
        <v>24</v>
      </c>
      <c r="W146" s="199" t="s">
        <v>160</v>
      </c>
      <c r="X146" s="199" t="s">
        <v>18</v>
      </c>
      <c r="Y146" s="199" t="s">
        <v>161</v>
      </c>
      <c r="Z146" s="199" t="s">
        <v>7</v>
      </c>
      <c r="AA146" s="199" t="s">
        <v>93</v>
      </c>
      <c r="AB146" s="199" t="s">
        <v>163</v>
      </c>
      <c r="AC146" s="199" t="s">
        <v>164</v>
      </c>
      <c r="AD146" s="214" t="s">
        <v>165</v>
      </c>
      <c r="AE146" s="214" t="s">
        <v>331</v>
      </c>
      <c r="AF146" s="214" t="s">
        <v>332</v>
      </c>
      <c r="AG146" s="199" t="s">
        <v>376</v>
      </c>
      <c r="AH146" s="199" t="s">
        <v>400</v>
      </c>
      <c r="AI146" s="199" t="s">
        <v>406</v>
      </c>
      <c r="AJ146" s="199" t="s">
        <v>422</v>
      </c>
      <c r="AK146" s="199" t="s">
        <v>440</v>
      </c>
      <c r="AW146" s="199" t="s">
        <v>8</v>
      </c>
      <c r="AX146" s="199" t="s">
        <v>65</v>
      </c>
      <c r="AY146" s="199" t="s">
        <v>147</v>
      </c>
      <c r="AZ146" s="199" t="s">
        <v>162</v>
      </c>
      <c r="BA146" s="199" t="s">
        <v>175</v>
      </c>
    </row>
    <row r="147" spans="1:53" ht="14.45" customHeight="1" x14ac:dyDescent="0.25">
      <c r="A147" s="24" t="str">
        <f>_xll.BDP(Y147,"ds520")</f>
        <v>Panama Bonos del Tesoro</v>
      </c>
      <c r="B147" s="24" t="str">
        <f>_xll.BDP(Y147,"crncy")</f>
        <v>USD</v>
      </c>
      <c r="C147" s="113" t="s">
        <v>293</v>
      </c>
      <c r="D147" s="24" t="str">
        <f>IF(_xll.BDP(Y147,"RTG_MOODY")="#N/A N/A","N/A",_xll.BDP(Y147,"RTG_MOODY"))&amp;","&amp;IF(_xll.BDP(Y147,"RTG_FITCH")="#N/A N/A","N/A",_xll.BDP(Y147,"RTG_FITCH"))&amp;","&amp;IF(_xll.BDP(Y147,"RTG_SP")="#N/A N/A","N/A",_xll.BDP(Y147,"RTG_SP"))</f>
        <v>Baa3,BB+,BBB-</v>
      </c>
      <c r="E147" s="25">
        <f>_xll.BDP(Y147,"cpn")/100</f>
        <v>6.3750000000000001E-2</v>
      </c>
      <c r="F147" s="25">
        <f ca="1">_xll.BDP($C147&amp;" isin","YAS_BOND_YLD", "YAS_YLD_FLAG=15", "user_local_trade_date",AD147,"Yas_bond_px",$M147)/100</f>
        <v>7.8367039999999999E-2</v>
      </c>
      <c r="G147" s="24" t="str">
        <f>_xll.BDP(Y147,"PAYMENT_RANK")</f>
        <v>Sr Unsecured</v>
      </c>
      <c r="H147" s="24" t="str">
        <f>IF((TEXT(_xll.BDP(Y147,"MATURITY"),"DD/MM/YYYY")="#N/A Field Not Applicable"),"Perp",TEXT(_xll.BDP(Y147,"MATURITY"),"DD/MM/YYYY"))</f>
        <v>25/07/2033</v>
      </c>
      <c r="I147" s="27">
        <f>(IF(_xll.BDP($Y147&amp;" ISIN","DU003")="#n/a n/a"," ",_xll.BDP($Y147&amp;" ISIN","DU003")))</f>
        <v>6.3524976421439883</v>
      </c>
      <c r="J147" s="24" t="str">
        <f>IF(_xll.BDP(Y147,"CALLABLE")="Y",_xll.BDP(Y147,"NXT_CALL_DT")," ")</f>
        <v xml:space="preserve"> </v>
      </c>
      <c r="K147" s="111">
        <v>200000</v>
      </c>
      <c r="L147" s="113">
        <v>98.78</v>
      </c>
      <c r="M147" s="28">
        <f>_xll.BDP(Y147,"px_bid")</f>
        <v>91.222999999999999</v>
      </c>
      <c r="N147" s="17">
        <f>IF(B147="USD",W147,(((_xll.BDP(B147&amp;"USD CURNCY","PX_LAST")))*W147))</f>
        <v>197560</v>
      </c>
      <c r="O147" s="17">
        <f>IF(B147="USD",X147,(((_xll.BDP(B147&amp;"USD CURNCY","PX_LAST")))*X147))+AF147</f>
        <v>185598.08333333334</v>
      </c>
      <c r="P147" s="146">
        <f>Q147*N147</f>
        <v>-15114.000000000005</v>
      </c>
      <c r="Q147" s="237">
        <f>(M147-L147)/L147</f>
        <v>-7.6503340757238331E-2</v>
      </c>
      <c r="R147" s="237" t="e">
        <f>O147/$D$49</f>
        <v>#VALUE!</v>
      </c>
      <c r="S147" s="30">
        <f ca="1">((V147*E147)* ((TODAY()-AZ147)/360))+(M147-L147)%*V147</f>
        <v>7694.3333333333303</v>
      </c>
      <c r="T147" s="24" t="str">
        <f>_xll.BDP(Y147,"DS199")</f>
        <v>Government</v>
      </c>
      <c r="U147" s="28">
        <f>_xll.BDP(Y147,"px_ask")</f>
        <v>92.891999999999996</v>
      </c>
      <c r="V147" s="30">
        <f>IF(B147="USD",K147,(((_xll.BDP(B147&amp;"USD CURNCY","PX_LAST")))*K147))</f>
        <v>200000</v>
      </c>
      <c r="W147" s="17">
        <f>K147*L147/100</f>
        <v>197560</v>
      </c>
      <c r="X147" s="17">
        <f>M147*K147/100</f>
        <v>182446</v>
      </c>
      <c r="Y147" s="24" t="str">
        <f>C147&amp; " ISIN"</f>
        <v>PAL63444B5A9 ISIN</v>
      </c>
      <c r="Z147" s="24" t="str" cm="1">
        <f t="array" ref="Z147">VLOOKUP(IF(NOT(_xll.BDP($C147&amp;" CORP",$BQ$5)="#N/A N/A"),(_xll.BDP($C147&amp;" CORP",$BQ$5)),"-"), '[1]Country Codes'!$A$2:$B$253,2,0)</f>
        <v>Panama</v>
      </c>
      <c r="AA147" s="24" t="str" cm="1">
        <f t="array" ref="AA147">IF(OR(_xll.BDP($Y147,"EX028")= "#N/A N/A", _xll.BDP($Y147,"EX028")="#N/A FIELD NOT APPLICABLE"), " ", _xll.BDP($Y147,"EX028"))</f>
        <v>FixedIncome</v>
      </c>
      <c r="AB147" s="31" t="str">
        <f>(IF(_xll.BDP($Y147&amp;" ISIN","DZ282")="Y","Single line Bonds Cocos","Single line Bonds ex Cocos"))</f>
        <v>Single line Bonds ex Cocos</v>
      </c>
      <c r="AC147" s="27">
        <f>(IF(_xll.BDP($C147&amp;" ISIN","SP153")="#n/a n/a"," ",_xll.BDP($C147&amp;" ISIN","SP153")))</f>
        <v>393.53483803198634</v>
      </c>
      <c r="AD147" s="32">
        <f ca="1">TODAY()</f>
        <v>45769</v>
      </c>
      <c r="AE147" s="17">
        <f>(((_xll.BDP(Y147,"DS032"))/360)*E147)*K147</f>
        <v>3152.0833333333339</v>
      </c>
      <c r="AF147" s="17">
        <f>IF(B147="USD",AE147,(((_xll.BDP(B147&amp;"USD CURNCY","PX_LAST")))*AE147))</f>
        <v>3152.0833333333339</v>
      </c>
      <c r="AG147" s="237" t="e">
        <f>O147/$O$150</f>
        <v>#DIV/0!</v>
      </c>
      <c r="AH147" s="17">
        <f>O147-AF147</f>
        <v>182446</v>
      </c>
      <c r="AI147" s="28">
        <f>IF((TEXT(_xll.BDP(Y147,"MATURITY"),"DD/MM/YYYY")="#N/A Field Not Applicable"),"Perp",_xll.BDP(Y147,"DS252"))</f>
        <v>8.2573579739904179</v>
      </c>
      <c r="AJ147" s="31" t="str">
        <f>(IF(_xll.BDP($Y147&amp;" ISIN","DT247")="Y","Yes","No"))</f>
        <v>No</v>
      </c>
      <c r="AK147" s="31" t="str">
        <f>PROPER(IF(OR(_xll.BDP($Y147,"CPN_TYP")="#n/a N/A",_xll.BDP($Y147,"CPN_TYP")= "#N/A FIELD NOT APPLICABLE"), " ", _xll.BDP($Y147,"CPN_TYP")))</f>
        <v>Fixed</v>
      </c>
      <c r="AW147" s="31" t="str">
        <f>C147</f>
        <v>PAL63444B5A9</v>
      </c>
      <c r="AX147" s="112">
        <v>0.65</v>
      </c>
      <c r="AY147" s="114">
        <v>3</v>
      </c>
      <c r="AZ147" s="115">
        <v>45125</v>
      </c>
      <c r="BA147" s="118">
        <v>1</v>
      </c>
    </row>
    <row r="148" spans="1:53" ht="14.45" customHeight="1" x14ac:dyDescent="0.25">
      <c r="A148" s="24" t="str">
        <f>_xll.BDP(Y148,"ds520")</f>
        <v>#N/A Connection</v>
      </c>
      <c r="B148" s="24" t="str">
        <f>_xll.BDP(Y148,"crncy")</f>
        <v>#N/A Connection</v>
      </c>
      <c r="C148" s="113" t="s">
        <v>318</v>
      </c>
      <c r="D148" s="24" t="str">
        <f>IF(_xll.BDP(Y148,"RTG_MOODY")="#N/A N/A","N/A",_xll.BDP(Y148,"RTG_MOODY"))&amp;","&amp;IF(_xll.BDP(Y148,"RTG_FITCH")="#N/A N/A","N/A",_xll.BDP(Y148,"RTG_FITCH"))&amp;","&amp;IF(_xll.BDP(Y148,"RTG_SP")="#N/A N/A","N/A",_xll.BDP(Y148,"RTG_SP"))</f>
        <v>#N/A Connection,#N/A Connection,#N/A Connection</v>
      </c>
      <c r="E148" s="25" t="e">
        <f>_xll.BDP(Y148,"cpn")/100</f>
        <v>#VALUE!</v>
      </c>
      <c r="F148" s="25" t="e">
        <f ca="1">_xll.BDP($C148&amp;" isin","YAS_BOND_YLD", "YAS_YLD_FLAG=15", "user_local_trade_date",AD148,"Yas_bond_px",$M148)/100</f>
        <v>#VALUE!</v>
      </c>
      <c r="G148" s="24" t="str">
        <f>_xll.BDP(Y148,"PAYMENT_RANK")</f>
        <v>#N/A Connection</v>
      </c>
      <c r="H148" s="24" t="str">
        <f>IF((TEXT(_xll.BDP(Y148,"MATURITY"),"DD/MM/YYYY")="#N/A Field Not Applicable"),"Perp",TEXT(_xll.BDP(Y148,"MATURITY"),"DD/MM/YYYY"))</f>
        <v>#N/A Connection</v>
      </c>
      <c r="I148" s="27" t="str">
        <f>(IF(_xll.BDP($Y148&amp;" ISIN","DU003")="#n/a n/a"," ",_xll.BDP($Y148&amp;" ISIN","DU003")))</f>
        <v>#N/A Connection</v>
      </c>
      <c r="J148" s="24" t="str">
        <f>IF(_xll.BDP(Y148,"CALLABLE")="Y",_xll.BDP(Y148,"NXT_CALL_DT")," ")</f>
        <v xml:space="preserve"> </v>
      </c>
      <c r="K148" s="111">
        <v>100000</v>
      </c>
      <c r="L148" s="113">
        <v>100.02</v>
      </c>
      <c r="M148" s="28" t="str">
        <f>_xll.BDP(Y148,"px_bid")</f>
        <v>#N/A Connection</v>
      </c>
      <c r="N148" s="17" t="e">
        <f>IF(B148="USD",W148,(((_xll.BDP(B148&amp;"USD CURNCY","PX_LAST")))*W148))</f>
        <v>#VALUE!</v>
      </c>
      <c r="O148" s="17" t="e">
        <f>IF(B148="USD",X148,(((_xll.BDP(B148&amp;"USD CURNCY","PX_LAST")))*X148))+AF148</f>
        <v>#VALUE!</v>
      </c>
      <c r="P148" s="146" t="e">
        <f t="shared" ref="P148:P149" si="29">Q148*N148</f>
        <v>#VALUE!</v>
      </c>
      <c r="Q148" s="237" t="e">
        <f>(M148-L148)/L148</f>
        <v>#VALUE!</v>
      </c>
      <c r="R148" s="237" t="e">
        <f>O148/$D$49</f>
        <v>#VALUE!</v>
      </c>
      <c r="S148" s="30" t="e">
        <f ca="1">((V148*E148)* ((TODAY()-AZ148)/360))+(M148-L148)%*V148</f>
        <v>#VALUE!</v>
      </c>
      <c r="T148" s="24" t="str">
        <f>_xll.BDP(Y148,"DS199")</f>
        <v>#N/A Connection</v>
      </c>
      <c r="U148" s="28" t="str">
        <f>_xll.BDP(Y148,"px_ask")</f>
        <v>#N/A Connection</v>
      </c>
      <c r="V148" s="30" t="e">
        <f>IF(B148="USD",K148,(((_xll.BDP(B148&amp;"USD CURNCY","PX_LAST")))*K148))</f>
        <v>#VALUE!</v>
      </c>
      <c r="W148" s="17">
        <f>K148*L148/100</f>
        <v>100020</v>
      </c>
      <c r="X148" s="17" t="e">
        <f>M148*K148/100</f>
        <v>#VALUE!</v>
      </c>
      <c r="Y148" s="24" t="str">
        <f>C148&amp; " ISIN"</f>
        <v>US404280DT33 ISIN</v>
      </c>
      <c r="Z148" s="24" t="str" cm="1">
        <f t="array" ref="Z148">VLOOKUP(IF(NOT(_xll.BDP($C148&amp;" CORP",$BQ$5)="#N/A N/A"),(_xll.BDP($C148&amp;" CORP",$BQ$5)),"-"), '[1]Country Codes'!$A$2:$B$253,2,0)</f>
        <v>United Kingdom</v>
      </c>
      <c r="AA148" s="24" t="str" cm="1">
        <f t="array" ref="AA148">IF(OR(_xll.BDP($Y148,"EX028")= "#N/A N/A", _xll.BDP($Y148,"EX028")="#N/A FIELD NOT APPLICABLE"), " ", _xll.BDP($Y148,"EX028"))</f>
        <v>#N/A Connection</v>
      </c>
      <c r="AB148" s="31" t="str">
        <f>(IF(_xll.BDP($Y148&amp;" ISIN","DZ282")="Y","Single line Bonds Cocos","Single line Bonds ex Cocos"))</f>
        <v>Single line Bonds ex Cocos</v>
      </c>
      <c r="AC148" s="27" t="str">
        <f>(IF(_xll.BDP($C148&amp;" ISIN","SP153")="#n/a n/a"," ",_xll.BDP($C148&amp;" ISIN","SP153")))</f>
        <v>#N/A Connection</v>
      </c>
      <c r="AD148" s="32">
        <f t="shared" ref="AD148:AD149" ca="1" si="30">TODAY()</f>
        <v>45769</v>
      </c>
      <c r="AE148" s="17" t="e">
        <f>(((_xll.BDP(Y148,"DS032"))/360)*E148)*K148</f>
        <v>#VALUE!</v>
      </c>
      <c r="AF148" s="17" t="e">
        <f>IF(B148="USD",AE148,(((_xll.BDP(B148&amp;"USD CURNCY","PX_LAST")))*AE148))</f>
        <v>#VALUE!</v>
      </c>
      <c r="AG148" s="237" t="e">
        <f t="shared" ref="AG148:AG149" si="31">O148/$O$150</f>
        <v>#VALUE!</v>
      </c>
      <c r="AH148" s="17" t="e">
        <f t="shared" ref="AH148:AH149" si="32">O148-AF148</f>
        <v>#VALUE!</v>
      </c>
      <c r="AI148" s="28" t="str">
        <f>IF((TEXT(_xll.BDP(Y148,"MATURITY"),"DD/MM/YYYY")="#N/A Field Not Applicable"),"Perp",_xll.BDP(Y148,"DS252"))</f>
        <v>#N/A Connection</v>
      </c>
      <c r="AJ148" s="31" t="str">
        <f>(IF(_xll.BDP($Y148&amp;" ISIN","DT247")="Y","Yes","No"))</f>
        <v>No</v>
      </c>
      <c r="AK148" s="31" t="str">
        <f>PROPER(IF(OR(_xll.BDP($Y148,"CPN_TYP")="#n/a N/A",_xll.BDP($Y148,"CPN_TYP")= "#N/A FIELD NOT APPLICABLE"), " ", _xll.BDP($Y148,"CPN_TYP")))</f>
        <v>#N/A Connection</v>
      </c>
      <c r="AW148" s="31" t="str">
        <f t="shared" ref="AW148:AW149" si="33">C148</f>
        <v>US404280DT33</v>
      </c>
      <c r="AX148" s="112">
        <v>0.65</v>
      </c>
      <c r="AY148" s="114">
        <v>4</v>
      </c>
      <c r="AZ148" s="115">
        <v>44985</v>
      </c>
      <c r="BA148" s="118">
        <v>1</v>
      </c>
    </row>
    <row r="149" spans="1:53" ht="14.45" customHeight="1" x14ac:dyDescent="0.25">
      <c r="A149" s="24" t="str">
        <f>_xll.BDP(Y149,"ds520")</f>
        <v>QIC Cayman Ltd</v>
      </c>
      <c r="B149" s="24" t="str">
        <f>_xll.BDP(Y149,"crncy")</f>
        <v>USD</v>
      </c>
      <c r="C149" s="113" t="s">
        <v>319</v>
      </c>
      <c r="D149" s="24" t="str">
        <f>IF(_xll.BDP(Y149,"RTG_MOODY")="#N/A N/A","N/A",_xll.BDP(Y149,"RTG_MOODY"))&amp;","&amp;IF(_xll.BDP(Y149,"RTG_FITCH")="#N/A N/A","N/A",_xll.BDP(Y149,"RTG_FITCH"))&amp;","&amp;IF(_xll.BDP(Y149,"RTG_SP")="#N/A N/A","N/A",_xll.BDP(Y149,"RTG_SP"))</f>
        <v>N/A,N/A,BBB</v>
      </c>
      <c r="E149" s="25">
        <f>_xll.BDP(Y149,"cpn")/100</f>
        <v>6.7500000000000004E-2</v>
      </c>
      <c r="F149" s="25">
        <f ca="1">_xll.BDP($C149&amp;" isin","YAS_BOND_YLD", "YAS_YLD_FLAG=15", "user_local_trade_date",AD149,"Yas_bond_px",$M149)/100</f>
        <v>6.2107260000000004E-2</v>
      </c>
      <c r="G149" s="24" t="str">
        <f>_xll.BDP(Y149,"PAYMENT_RANK")</f>
        <v>Subordinated</v>
      </c>
      <c r="H149" s="24" t="str">
        <f>IF((TEXT(_xll.BDP(Y149,"MATURITY"),"DD/MM/YYYY")="#N/A Field Not Applicable"),"Perp",TEXT(_xll.BDP(Y149,"MATURITY"),"DD/MM/YYYY"))</f>
        <v>Perp</v>
      </c>
      <c r="I149" s="27">
        <f>(IF(_xll.BDP($Y149&amp;" ISIN","DU003")="#n/a n/a"," ",_xll.BDP($Y149&amp;" ISIN","DU003")))</f>
        <v>2.6764248701443019</v>
      </c>
      <c r="J149" s="24" t="str">
        <f>IF(_xll.BDP(Y149,"CALLABLE")="Y",_xll.BDP(Y149,"NXT_CALL_DT")," ")</f>
        <v>07/04/2028</v>
      </c>
      <c r="K149" s="111">
        <v>100000</v>
      </c>
      <c r="L149" s="113">
        <v>100.01</v>
      </c>
      <c r="M149" s="28">
        <f>_xll.BDP(Y149,"px_bid")</f>
        <v>101.43300000000001</v>
      </c>
      <c r="N149" s="17">
        <f>IF(B149="USD",W149,(((_xll.BDP(B149&amp;"USD CURNCY","PX_LAST")))*W149))</f>
        <v>100010</v>
      </c>
      <c r="O149" s="17">
        <f>IF(B149="USD",X149,(((_xll.BDP(B149&amp;"USD CURNCY","PX_LAST")))*X149))+AF149</f>
        <v>103439.25</v>
      </c>
      <c r="P149" s="146">
        <f t="shared" si="29"/>
        <v>1423.0000000000016</v>
      </c>
      <c r="Q149" s="238">
        <f>(M149-L149)/L149</f>
        <v>1.4228577142285788E-2</v>
      </c>
      <c r="R149" s="237" t="e">
        <f>O149/$D$49</f>
        <v>#VALUE!</v>
      </c>
      <c r="S149" s="30">
        <f ca="1">((V149*E149)* ((TODAY()-AZ149)/360))+(M149-L149)%*V149</f>
        <v>20698</v>
      </c>
      <c r="T149" s="24" t="str">
        <f>_xll.BDP(Y149,"DS199")</f>
        <v>Financial</v>
      </c>
      <c r="U149" s="28">
        <f>_xll.BDP(Y149,"px_ask")</f>
        <v>102.23099999999999</v>
      </c>
      <c r="V149" s="30">
        <f>IF(B149="USD",K149,(((_xll.BDP(B149&amp;"USD CURNCY","PX_LAST")))*K149))</f>
        <v>100000</v>
      </c>
      <c r="W149" s="17">
        <f>K149*L149/100</f>
        <v>100010</v>
      </c>
      <c r="X149" s="17">
        <f>M149*K149/100</f>
        <v>101433</v>
      </c>
      <c r="Y149" s="24" t="str">
        <f>C149&amp; " ISIN"</f>
        <v>XS2451768720 ISIN</v>
      </c>
      <c r="Z149" s="24" t="str" cm="1">
        <f t="array" ref="Z149">VLOOKUP(IF(NOT(_xll.BDP($C149&amp;" CORP",$BQ$5)="#N/A N/A"),(_xll.BDP($C149&amp;" CORP",$BQ$5)),"-"), '[1]Country Codes'!$A$2:$B$253,2,0)</f>
        <v>Qatar</v>
      </c>
      <c r="AA149" s="24" t="str" cm="1">
        <f t="array" ref="AA149">IF(OR(_xll.BDP($Y149,"EX028")= "#N/A N/A", _xll.BDP($Y149,"EX028")="#N/A FIELD NOT APPLICABLE"), " ", _xll.BDP($Y149,"EX028"))</f>
        <v>FixedIncome</v>
      </c>
      <c r="AB149" s="31" t="str">
        <f>(IF(_xll.BDP($Y149&amp;" ISIN","DZ282")="Y","Single line Bonds Cocos","Single line Bonds ex Cocos"))</f>
        <v>Single line Bonds ex Cocos</v>
      </c>
      <c r="AC149" s="27">
        <f>(IF(_xll.BDP($C149&amp;" ISIN","SP153")="#n/a n/a"," ",_xll.BDP($C149&amp;" ISIN","SP153")))</f>
        <v>255.75261901627064</v>
      </c>
      <c r="AD149" s="32">
        <f t="shared" ca="1" si="30"/>
        <v>45769</v>
      </c>
      <c r="AE149" s="17">
        <f>(((_xll.BDP(Y149,"DS032"))/360)*E149)*K149</f>
        <v>2006.25</v>
      </c>
      <c r="AF149" s="17">
        <f>IF(B149="USD",AE149,(((_xll.BDP(B149&amp;"USD CURNCY","PX_LAST")))*AE149))</f>
        <v>2006.25</v>
      </c>
      <c r="AG149" s="237" t="e">
        <f t="shared" si="31"/>
        <v>#DIV/0!</v>
      </c>
      <c r="AH149" s="17">
        <f t="shared" si="32"/>
        <v>101433</v>
      </c>
      <c r="AI149" s="28" t="str">
        <f>IF((TEXT(_xll.BDP(Y149,"MATURITY"),"DD/MM/YYYY")="#N/A Field Not Applicable"),"Perp",_xll.BDP(Y149,"DS252"))</f>
        <v>Perp</v>
      </c>
      <c r="AJ149" s="31" t="str">
        <f>(IF(_xll.BDP($Y149&amp;" ISIN","DT247")="Y","Yes","No"))</f>
        <v>No</v>
      </c>
      <c r="AK149" s="31" t="str">
        <f>PROPER(IF(OR(_xll.BDP($Y149,"CPN_TYP")="#n/a N/A",_xll.BDP($Y149,"CPN_TYP")= "#N/A FIELD NOT APPLICABLE"), " ", _xll.BDP($Y149,"CPN_TYP")))</f>
        <v>Variable</v>
      </c>
      <c r="AW149" s="31" t="str">
        <f t="shared" si="33"/>
        <v>XS2451768720</v>
      </c>
      <c r="AX149" s="112">
        <v>0.65</v>
      </c>
      <c r="AY149" s="114">
        <v>4</v>
      </c>
      <c r="AZ149" s="115">
        <v>44741</v>
      </c>
      <c r="BA149" s="118">
        <v>1</v>
      </c>
    </row>
    <row r="150" spans="1:53" ht="14.45" customHeight="1" thickBot="1" x14ac:dyDescent="0.3">
      <c r="A150" s="215"/>
      <c r="B150" s="216"/>
      <c r="C150" s="217"/>
      <c r="D150" s="217"/>
      <c r="E150" s="218">
        <f>IFERROR(SUMPRODUCT(E147:E149,V147:V149)/V150,0)</f>
        <v>0</v>
      </c>
      <c r="F150" s="218">
        <f ca="1">IFERROR(SUMPRODUCT(F147:F149,O147:O149)/O150,0)</f>
        <v>0</v>
      </c>
      <c r="G150" s="217"/>
      <c r="H150" s="217"/>
      <c r="I150" s="217">
        <f>IFERROR(SUMPRODUCT(I147:I149, V147:V149)/V150,0)</f>
        <v>0</v>
      </c>
      <c r="J150" s="217"/>
      <c r="K150" s="219"/>
      <c r="L150" s="217">
        <f>IFERROR(SUMPRODUCT(L147:L149,V147:V149)/V150,0)</f>
        <v>0</v>
      </c>
      <c r="M150" s="217"/>
      <c r="N150" s="220">
        <f>IFERROR(SUM(N147:N149),0)</f>
        <v>0</v>
      </c>
      <c r="O150" s="220">
        <f>IFERROR(SUM(O147:O149),0)</f>
        <v>0</v>
      </c>
      <c r="P150" s="221">
        <f>IFERROR(SUM(P147:P149),0)</f>
        <v>0</v>
      </c>
      <c r="Q150" s="239">
        <f>IFERROR(SUMPRODUCT(Q147:Q149,N147:N149)/N150,0)</f>
        <v>0</v>
      </c>
      <c r="R150" s="239">
        <f>IFERROR(SUM(R147:R149),0)</f>
        <v>0</v>
      </c>
      <c r="S150" s="220">
        <f ca="1">IFERROR(SUM(S147:S149),0)</f>
        <v>0</v>
      </c>
      <c r="T150" s="222"/>
      <c r="U150" s="217"/>
      <c r="V150" s="220" t="e">
        <f>SUM(V147:V149)</f>
        <v>#VALUE!</v>
      </c>
      <c r="W150" s="223"/>
      <c r="X150" s="218"/>
      <c r="Y150" s="217"/>
      <c r="Z150" s="217"/>
      <c r="AA150" s="224"/>
      <c r="AB150" s="218"/>
      <c r="AC150" s="218"/>
      <c r="AD150" s="218"/>
      <c r="AE150" s="218"/>
      <c r="AF150" s="220">
        <f>IFERROR(SUM(AF147:AF149),0)</f>
        <v>0</v>
      </c>
      <c r="AG150" s="239">
        <f>IFERROR(SUM(AG147:AG149),0)</f>
        <v>0</v>
      </c>
      <c r="AH150" s="220">
        <f>IFERROR(SUM(AH147:AH149),0)</f>
        <v>0</v>
      </c>
      <c r="AI150" s="220"/>
      <c r="AJ150" s="239" t="e">
        <f>SUMIFS(O147:O149,AB147:AB149,"Single Line Bonds ex Cocos",AJ147:AJ149,"Yes")/(D49)</f>
        <v>#VALUE!</v>
      </c>
      <c r="AK150" s="239"/>
      <c r="AW150" s="218"/>
      <c r="AX150" s="218" t="e">
        <f>SUMPRODUCT(AX147:AX149,O147:O149)/O150</f>
        <v>#VALUE!</v>
      </c>
      <c r="AY150" s="225" t="e">
        <f>SUMPRODUCT(AY147:AY149,O147:O149)/O150</f>
        <v>#VALUE!</v>
      </c>
      <c r="AZ150" s="224"/>
      <c r="BA150" s="224"/>
    </row>
    <row r="151" spans="1:53" ht="14.45" customHeight="1" thickTop="1" x14ac:dyDescent="0.25">
      <c r="A151" s="33"/>
      <c r="B151" s="33"/>
      <c r="C151" s="33"/>
      <c r="D151" s="33"/>
      <c r="E151" s="33"/>
      <c r="F151" s="33"/>
      <c r="G151" s="33"/>
      <c r="H151" s="33"/>
      <c r="I151" s="34"/>
      <c r="J151" s="33"/>
      <c r="K151" s="33"/>
      <c r="L151" s="35"/>
      <c r="M151" s="35"/>
      <c r="N151" s="33"/>
      <c r="O151" s="36"/>
      <c r="P151" s="37"/>
      <c r="Q151" s="33"/>
      <c r="R151" s="35"/>
      <c r="S151" s="38"/>
      <c r="T151" s="39"/>
      <c r="U151" s="36"/>
      <c r="V151" s="40"/>
      <c r="W151" s="34"/>
      <c r="X151" s="36"/>
      <c r="Y151" s="38"/>
      <c r="Z151" s="38"/>
      <c r="AA151" s="38"/>
      <c r="AB151" s="36"/>
      <c r="AC151" s="33"/>
      <c r="AD151" s="33"/>
      <c r="AE151" s="33"/>
      <c r="AF151" s="36"/>
      <c r="AG151" s="41"/>
      <c r="AH151" s="33"/>
      <c r="AI151" s="33"/>
    </row>
    <row r="152" spans="1:53" ht="14.4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53" ht="14.45" customHeight="1" x14ac:dyDescent="0.25">
      <c r="A153" s="26" t="s">
        <v>166</v>
      </c>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29"/>
      <c r="AT153" s="229"/>
      <c r="AU153" s="229"/>
      <c r="AV153" s="229"/>
    </row>
    <row r="154" spans="1:53" ht="30.75" customHeight="1" x14ac:dyDescent="0.25">
      <c r="A154" s="199" t="s">
        <v>4</v>
      </c>
      <c r="B154" s="199" t="s">
        <v>54</v>
      </c>
      <c r="C154" s="199" t="s">
        <v>6</v>
      </c>
      <c r="D154" s="199" t="s">
        <v>167</v>
      </c>
      <c r="E154" s="214" t="s">
        <v>168</v>
      </c>
      <c r="F154" s="214" t="s">
        <v>56</v>
      </c>
      <c r="G154" s="199" t="s">
        <v>169</v>
      </c>
      <c r="H154" s="199" t="s">
        <v>170</v>
      </c>
      <c r="I154" s="199" t="s">
        <v>171</v>
      </c>
      <c r="J154" s="199" t="s">
        <v>172</v>
      </c>
      <c r="K154" s="199" t="s">
        <v>17</v>
      </c>
      <c r="L154" s="199" t="s">
        <v>153</v>
      </c>
      <c r="M154" s="199" t="s">
        <v>5</v>
      </c>
      <c r="N154" s="199" t="s">
        <v>155</v>
      </c>
      <c r="O154" s="199" t="s">
        <v>156</v>
      </c>
      <c r="P154" s="199" t="s">
        <v>116</v>
      </c>
      <c r="Q154" s="214" t="s">
        <v>334</v>
      </c>
      <c r="R154" s="199" t="s">
        <v>146</v>
      </c>
      <c r="S154" s="199" t="s">
        <v>174</v>
      </c>
      <c r="T154" s="199" t="s">
        <v>24</v>
      </c>
      <c r="U154" s="199" t="s">
        <v>160</v>
      </c>
      <c r="V154" s="199" t="s">
        <v>18</v>
      </c>
      <c r="W154" s="199" t="s">
        <v>7</v>
      </c>
      <c r="X154" s="199" t="s">
        <v>93</v>
      </c>
      <c r="Y154" s="199" t="s">
        <v>163</v>
      </c>
      <c r="Z154" s="199" t="s">
        <v>176</v>
      </c>
      <c r="AA154" s="199" t="s">
        <v>177</v>
      </c>
      <c r="AB154" s="199" t="s">
        <v>178</v>
      </c>
      <c r="AC154" s="199" t="s">
        <v>179</v>
      </c>
      <c r="AD154" s="199" t="s">
        <v>180</v>
      </c>
      <c r="AE154" s="199" t="s">
        <v>28</v>
      </c>
      <c r="AF154" s="199" t="s">
        <v>181</v>
      </c>
      <c r="AG154" s="199" t="s">
        <v>182</v>
      </c>
      <c r="AH154" s="199" t="s">
        <v>74</v>
      </c>
      <c r="AI154" s="214" t="s">
        <v>183</v>
      </c>
      <c r="AJ154" s="199" t="s">
        <v>184</v>
      </c>
      <c r="AK154" s="199" t="s">
        <v>185</v>
      </c>
      <c r="AL154" s="199" t="s">
        <v>186</v>
      </c>
      <c r="AM154" s="199" t="s">
        <v>187</v>
      </c>
      <c r="AN154" s="199" t="s">
        <v>25</v>
      </c>
      <c r="AO154" s="199" t="s">
        <v>188</v>
      </c>
      <c r="AP154" s="199" t="s">
        <v>189</v>
      </c>
      <c r="AQ154" s="199" t="s">
        <v>190</v>
      </c>
      <c r="AR154" s="199" t="s">
        <v>2</v>
      </c>
      <c r="AW154" s="199" t="s">
        <v>8</v>
      </c>
      <c r="AX154" s="199" t="s">
        <v>65</v>
      </c>
      <c r="AY154" s="199" t="s">
        <v>147</v>
      </c>
      <c r="AZ154" s="199" t="s">
        <v>162</v>
      </c>
      <c r="BA154" s="199" t="s">
        <v>175</v>
      </c>
    </row>
    <row r="155" spans="1:53" ht="14.45" customHeight="1" x14ac:dyDescent="0.25">
      <c r="A155" s="8" t="str">
        <f>_xll.BDP(AR155,"SECURITY NAME")</f>
        <v>Newmont Corp</v>
      </c>
      <c r="B155" s="8" t="str">
        <f>_xll.BDP(AR155,"CRNCY")</f>
        <v>AUD</v>
      </c>
      <c r="C155" s="119" t="s">
        <v>327</v>
      </c>
      <c r="D155" s="8" t="str" cm="1">
        <f t="array" ref="D155">IF(OR(_xll.BDP($AR155,"DX202")= "#N/A N/A", _xll.BDP($AR155,"DX202")="#N/A FIELD NOT APPLICABLE"), " ", _xll.BDP($AR155,"DX202"))</f>
        <v>Materials</v>
      </c>
      <c r="E155" s="9">
        <f>_xll.BDP(AR155,"CRNCY_ADJ_MKT_CAP", "EQY_FUND_CRNCY=USD")/1000</f>
        <v>63.948288205767128</v>
      </c>
      <c r="F155" s="42">
        <f>IFERROR(_xll.BDP(AR155, "DV013")/100,0)</f>
        <v>1.8070452609260854E-2</v>
      </c>
      <c r="G155" s="43" t="str" cm="1">
        <f t="array" ref="G155">IF(OR(_xll.BDP($AR155,"RR900")= "#N/A N/A", _xll.BDP($AR155,"RR900")="#N/A FIELD NOT APPLICABLE"), " ", _xll.BDP($AR155,"RR900"))</f>
        <v xml:space="preserve"> </v>
      </c>
      <c r="H155" s="43" cm="1">
        <f t="array" ref="H155">IF(OR(_xll.BDP($AR155,"EE010")= "#N/A N/A", _xll.BDP($AR155,"EE010")="#N/A FIELD NOT APPLICABLE"), " ", _xll.BDP($AR155,"EE010"))</f>
        <v>11.868009408566831</v>
      </c>
      <c r="I155" s="43" t="str" cm="1">
        <f t="array" ref="I155">IF(OR(_xll.BDP($AR155,"RR903")= "#N/A N/A", _xll.BDP($AR155,"RR903")="#N/A FIELD NOT APPLICABLE"), " ", _xll.BDP($AR155,"RR903"))</f>
        <v xml:space="preserve"> </v>
      </c>
      <c r="J155" s="43" t="str" cm="1">
        <f t="array" ref="J155">IF(OR(_xll.BDP($AR155,"RR957")= "#N/A N/A", _xll.BDP($AR155,"RR957")="#N/A FIELD NOT APPLICABLE"), " ", _xll.BDP($AR155,"RR957"))</f>
        <v xml:space="preserve"> </v>
      </c>
      <c r="K155" s="116">
        <v>760</v>
      </c>
      <c r="L155" s="117">
        <v>91.65</v>
      </c>
      <c r="M155" s="8" cm="1">
        <f t="array" ref="M155">IF(OR(_xll.BDP($AR155,"PX_last")="#N/A N/A",_xll.BDP($AR155,"PX_Last")="#N/A FIELD NOT APPLICABLE")," ",IF(B155="GBP",(_xll.BDP($AR155,"PX_LAST")/100),(_xll.BDP($AR155,"PX_LAST"))))</f>
        <v>88.57</v>
      </c>
      <c r="N155" s="10">
        <f>IF(B155="USD",U155,(((_xll.BDP(B155&amp;"USD CURNCY","PX_LAST")))*U155))</f>
        <v>44620.352399999996</v>
      </c>
      <c r="O155" s="10">
        <f>IF(B155="USD",V155,(((_xll.BDP(B155&amp;"USD CURNCY","PX_LAST")))*V155))</f>
        <v>43120.835919999998</v>
      </c>
      <c r="P155" s="146">
        <f t="shared" ref="P155:P157" si="34">O155-N155</f>
        <v>-1499.5164799999984</v>
      </c>
      <c r="Q155" s="237">
        <f>P155/N155</f>
        <v>-3.3606110201854847E-2</v>
      </c>
      <c r="R155" s="237" t="e">
        <f>O155/$D$49</f>
        <v>#VALUE!</v>
      </c>
      <c r="S155" s="9">
        <f>IFERROR(O155*F155,0)</f>
        <v>779.21302196407316</v>
      </c>
      <c r="T155" s="9">
        <f>O155</f>
        <v>43120.835919999998</v>
      </c>
      <c r="U155" s="10">
        <f>L155*K155</f>
        <v>69654</v>
      </c>
      <c r="V155" s="10">
        <f>IFERROR(K155*M155,0)</f>
        <v>67313.2</v>
      </c>
      <c r="W155" s="24" t="str" cm="1">
        <f t="array" ref="W155">VLOOKUP(IF(NOT(_xll.BDP(AR155,$BQ$5)="#N/A N/A"),(_xll.BDP(AR155,$BQ$5)),"-"), '[1]Country Codes'!$A$2:$B$253,2,0)</f>
        <v>United States</v>
      </c>
      <c r="X155" s="45" t="str" cm="1">
        <f t="array" ref="X155">IF(OR(_xll.BDP($AR155,"EX028")= "#N/A N/A", _xll.BDP($AR155,"EX028")="#N/A FIELD NOT APPLICABLE"), " ", _xll.BDP($AR155,"EX028"))</f>
        <v>Equity</v>
      </c>
      <c r="Y155" s="46" t="str">
        <f>IF(("AS97"="Equity"), " ", "Single Line Equity")</f>
        <v>Single Line Equity</v>
      </c>
      <c r="Z155" s="43" t="str" cm="1">
        <f t="array" ref="Z155">IF(OR(_xll.BDP($AR155,"RR908")= "#N/A N/A", _xll.BDP($AR155,"RR908")="#N/A FIELD NOT APPLICABLE"), " ", _xll.BDP($AR155,"RR908"))</f>
        <v xml:space="preserve"> </v>
      </c>
      <c r="AA155" s="43" cm="1">
        <f t="array" ref="AA155">IF(OR(_xll.BDP($AR155,"RR041")= "#N/A N/A", _xll.BDP($AR155,"RR041")="#N/A FIELD NOT APPLICABLE"), " ", _xll.BDP($AR155,"RR041"))</f>
        <v>16.076594083302275</v>
      </c>
      <c r="AB155" s="8">
        <f>_xll.BDP(AR155,"TOT_BUY_REC")</f>
        <v>8</v>
      </c>
      <c r="AC155" s="8">
        <f>_xll.BDP(AR155,"TOT_HOLD_REC")</f>
        <v>1</v>
      </c>
      <c r="AD155" s="8">
        <f>_xll.BDP(AR155,"TOT_SELL_REC")</f>
        <v>0</v>
      </c>
      <c r="AE155" s="43" cm="1">
        <f t="array" ref="AE155">IF(OR(_xll.BDP($AR155,"EE201")= "#N/A N/A", _xll.BDP($AR155,"EE201")="#N/A FIELD NOT APPLICABLE"), " ", _xll.BDP($AR155,"EE201"))</f>
        <v>4.6666665077209473</v>
      </c>
      <c r="AF155" s="9">
        <f>_xll.BDP(AR155,"BEST_TARGET_PRICE")</f>
        <v>94.872222900390625</v>
      </c>
      <c r="AG155" s="44">
        <f>(AF155/M155)-1</f>
        <v>7.1155277186300436E-2</v>
      </c>
      <c r="AH155" s="44">
        <f>_xll.BDP(AR155,"PR061")/100</f>
        <v>0.17904679999999998</v>
      </c>
      <c r="AI155" s="44">
        <f>_xll.BDP(AR155,"PR064")/100</f>
        <v>0.30827179999999998</v>
      </c>
      <c r="AJ155" s="44">
        <f>_xll.BDP(AR155,"CHG_PCT_6M")/100</f>
        <v>2.4522879999999997E-2</v>
      </c>
      <c r="AK155" s="42">
        <f>_xll.BDP(AR155,"PR079")/100</f>
        <v>0.48757139999999999</v>
      </c>
      <c r="AL155" s="47">
        <f>_xll.BDP(AR155,"hs001")</f>
        <v>88.93</v>
      </c>
      <c r="AM155" s="47">
        <f>_xll.BDP(AR155,"hs002")</f>
        <v>56.69</v>
      </c>
      <c r="AN155" s="8" t="str" cm="1">
        <f t="array" ref="AN155">IF(OR(_xll.BDP($AR155,"DX202")= "#N/A N/A", _xll.BDP($AR155,"DX202")="#N/A FIELD NOT APPLICABLE"), " ", _xll.BDP($AR155,"DX202"))</f>
        <v>Materials</v>
      </c>
      <c r="AO155" s="8" t="str" cm="1">
        <f t="array" ref="AO155">IF(OR(_xll.BDP($AR155,"DY997")= "#N/A N/A", _xll.BDP($AR155,"DY997")="#N/A FIELD NOT APPLICABLE"), " ", _xll.BDP($AR155,"DY997"))</f>
        <v xml:space="preserve"> </v>
      </c>
      <c r="AP155" s="8" t="str" cm="1">
        <f t="array" ref="AP155">IF(OR(_xll.BDP($AR155,"DY784")= "#N/A N/A", _xll.BDP($AR155,"DY784")="#N/A FIELD NOT APPLICABLE"), " ", _xll.BDP($AR155,"DY784"))</f>
        <v xml:space="preserve"> </v>
      </c>
      <c r="AQ155" s="8" t="str">
        <f t="shared" ref="AQ155:AQ157" si="35">IF(OR(AO155="Y",AP155="Y"),"Y","N")</f>
        <v>N</v>
      </c>
      <c r="AR155" s="8" t="str">
        <f>CONCATENATE(C155," ",$AR$154)</f>
        <v>NEM AT Equity</v>
      </c>
      <c r="AW155" s="282" t="str" cm="1">
        <f t="array" ref="AW155">_xll.BDP(AR155,"ID005")</f>
        <v>AU0000297962</v>
      </c>
      <c r="AX155" s="120">
        <v>0.7</v>
      </c>
      <c r="AY155" s="114">
        <v>4</v>
      </c>
      <c r="AZ155" s="115">
        <v>45217</v>
      </c>
      <c r="BA155" s="118">
        <v>1</v>
      </c>
    </row>
    <row r="156" spans="1:53" ht="14.45" customHeight="1" x14ac:dyDescent="0.25">
      <c r="A156" s="8" t="str">
        <f>_xll.BDP(AR156,"SECURITY NAME")</f>
        <v>#N/A Connection</v>
      </c>
      <c r="B156" s="8" t="str">
        <f>_xll.BDP(AR156,"CRNCY")</f>
        <v>#N/A Connection</v>
      </c>
      <c r="C156" s="119" t="s">
        <v>328</v>
      </c>
      <c r="D156" s="8" t="str" cm="1">
        <f t="array" ref="D156">IF(OR(_xll.BDP($AR156,"DX202")= "#N/A N/A", _xll.BDP($AR156,"DX202")="#N/A FIELD NOT APPLICABLE"), " ", _xll.BDP($AR156,"DX202"))</f>
        <v>#N/A Connection</v>
      </c>
      <c r="E156" s="9" t="e">
        <f>_xll.BDP(AR156,"CRNCY_ADJ_MKT_CAP", "EQY_FUND_CRNCY=USD")/1000</f>
        <v>#VALUE!</v>
      </c>
      <c r="F156" s="42">
        <f>IFERROR(_xll.BDP(AR156, "DV013")/100,0)</f>
        <v>0</v>
      </c>
      <c r="G156" s="43" t="str" cm="1">
        <f t="array" ref="G156">IF(OR(_xll.BDP($AR156,"RR900")= "#N/A N/A", _xll.BDP($AR156,"RR900")="#N/A FIELD NOT APPLICABLE"), " ", _xll.BDP($AR156,"RR900"))</f>
        <v>#N/A Connection</v>
      </c>
      <c r="H156" s="43" t="str" cm="1">
        <f t="array" ref="H156">IF(OR(_xll.BDP($AR156,"EE010")= "#N/A N/A", _xll.BDP($AR156,"EE010")="#N/A FIELD NOT APPLICABLE"), " ", _xll.BDP($AR156,"EE010"))</f>
        <v>#N/A Connection</v>
      </c>
      <c r="I156" s="43" t="str" cm="1">
        <f t="array" ref="I156">IF(OR(_xll.BDP($AR156,"RR903")= "#N/A N/A", _xll.BDP($AR156,"RR903")="#N/A FIELD NOT APPLICABLE"), " ", _xll.BDP($AR156,"RR903"))</f>
        <v>#N/A Connection</v>
      </c>
      <c r="J156" s="43" t="str" cm="1">
        <f t="array" ref="J156">IF(OR(_xll.BDP($AR156,"RR957")= "#N/A N/A", _xll.BDP($AR156,"RR957")="#N/A FIELD NOT APPLICABLE"), " ", _xll.BDP($AR156,"RR957"))</f>
        <v>#N/A Connection</v>
      </c>
      <c r="K156" s="116">
        <v>90</v>
      </c>
      <c r="L156" s="117">
        <v>240.1</v>
      </c>
      <c r="M156" s="8" t="str" cm="1">
        <f t="array" ref="M156">IF(OR(_xll.BDP($AR156,"PX_last")="#N/A N/A",_xll.BDP($AR156,"PX_Last")="#N/A FIELD NOT APPLICABLE")," ",IF(B156="GBP",(_xll.BDP($AR156,"PX_LAST")/100),(_xll.BDP($AR156,"PX_LAST"))))</f>
        <v>#N/A Connection</v>
      </c>
      <c r="N156" s="10" t="e">
        <f>IF(B156="USD",U156,(((_xll.BDP(B156&amp;"USD CURNCY","PX_LAST")))*U156))</f>
        <v>#VALUE!</v>
      </c>
      <c r="O156" s="10" t="e">
        <f>IF(B156="USD",V156,(((_xll.BDP(B156&amp;"USD CURNCY","PX_LAST")))*V156))</f>
        <v>#VALUE!</v>
      </c>
      <c r="P156" s="146" t="e">
        <f t="shared" ref="P156" si="36">O156-N156</f>
        <v>#VALUE!</v>
      </c>
      <c r="Q156" s="237" t="e">
        <f>P156/N156</f>
        <v>#VALUE!</v>
      </c>
      <c r="R156" s="237" t="e">
        <f>O156/$D$49</f>
        <v>#VALUE!</v>
      </c>
      <c r="S156" s="9">
        <f>IFERROR(O156*F156,0)</f>
        <v>0</v>
      </c>
      <c r="T156" s="9" t="e">
        <f>O156</f>
        <v>#VALUE!</v>
      </c>
      <c r="U156" s="10">
        <f>L156*K156</f>
        <v>21609</v>
      </c>
      <c r="V156" s="10">
        <f>IFERROR(K156*M156,0)</f>
        <v>0</v>
      </c>
      <c r="W156" s="24" t="str" cm="1">
        <f t="array" ref="W156">VLOOKUP(IF(NOT(_xll.BDP(AR156,$BQ$5)="#N/A N/A"),(_xll.BDP(AR156,$BQ$5)),"-"), '[1]Country Codes'!$A$2:$B$253,2,0)</f>
        <v>United States</v>
      </c>
      <c r="X156" s="45" t="str" cm="1">
        <f t="array" ref="X156">IF(OR(_xll.BDP($AR156,"EX028")= "#N/A N/A", _xll.BDP($AR156,"EX028")="#N/A FIELD NOT APPLICABLE"), " ", _xll.BDP($AR156,"EX028"))</f>
        <v>#N/A Connection</v>
      </c>
      <c r="Y156" s="46" t="str">
        <f>IF(("AS97"="Equity"), " ", "Single Line Equity")</f>
        <v>Single Line Equity</v>
      </c>
      <c r="Z156" s="43" t="str" cm="1">
        <f t="array" ref="Z156">IF(OR(_xll.BDP($AR156,"RR908")= "#N/A N/A", _xll.BDP($AR156,"RR908")="#N/A FIELD NOT APPLICABLE"), " ", _xll.BDP($AR156,"RR908"))</f>
        <v>#N/A Connection</v>
      </c>
      <c r="AA156" s="43" t="str" cm="1">
        <f t="array" ref="AA156">IF(OR(_xll.BDP($AR156,"RR041")= "#N/A N/A", _xll.BDP($AR156,"RR041")="#N/A FIELD NOT APPLICABLE"), " ", _xll.BDP($AR156,"RR041"))</f>
        <v>#N/A Connection</v>
      </c>
      <c r="AB156" s="8" t="str">
        <f>_xll.BDP(AR156,"TOT_BUY_REC")</f>
        <v>#N/A Connection</v>
      </c>
      <c r="AC156" s="8" t="str">
        <f>_xll.BDP(AR156,"TOT_HOLD_REC")</f>
        <v>#N/A Connection</v>
      </c>
      <c r="AD156" s="8" t="str">
        <f>_xll.BDP(AR156,"TOT_SELL_REC")</f>
        <v>#N/A Connection</v>
      </c>
      <c r="AE156" s="43" t="str" cm="1">
        <f t="array" ref="AE156">IF(OR(_xll.BDP($AR156,"EE201")= "#N/A N/A", _xll.BDP($AR156,"EE201")="#N/A FIELD NOT APPLICABLE"), " ", _xll.BDP($AR156,"EE201"))</f>
        <v>#N/A Connection</v>
      </c>
      <c r="AF156" s="9" t="str">
        <f>_xll.BDP(AR156,"BEST_TARGET_PRICE")</f>
        <v>#N/A Connection</v>
      </c>
      <c r="AG156" s="44" t="e">
        <f>(AF156/M156)-1</f>
        <v>#VALUE!</v>
      </c>
      <c r="AH156" s="44" t="e">
        <f>_xll.BDP(AR156,"PR061")/100</f>
        <v>#VALUE!</v>
      </c>
      <c r="AI156" s="44" t="e">
        <f>_xll.BDP(AR156,"PR064")/100</f>
        <v>#VALUE!</v>
      </c>
      <c r="AJ156" s="44" t="e">
        <f>_xll.BDP(AR156,"CHG_PCT_6M")/100</f>
        <v>#VALUE!</v>
      </c>
      <c r="AK156" s="42" t="e">
        <f>_xll.BDP(AR156,"PR079")/100</f>
        <v>#VALUE!</v>
      </c>
      <c r="AL156" s="47" t="str">
        <f>_xll.BDP(AR156,"hs001")</f>
        <v>#N/A Connection</v>
      </c>
      <c r="AM156" s="47" t="str">
        <f>_xll.BDP(AR156,"hs002")</f>
        <v>#N/A Connection</v>
      </c>
      <c r="AN156" s="8" t="str" cm="1">
        <f t="array" ref="AN156">IF(OR(_xll.BDP($AR156,"DX202")= "#N/A N/A", _xll.BDP($AR156,"DX202")="#N/A FIELD NOT APPLICABLE"), " ", _xll.BDP($AR156,"DX202"))</f>
        <v>#N/A Connection</v>
      </c>
      <c r="AO156" s="8" t="str" cm="1">
        <f t="array" ref="AO156">IF(OR(_xll.BDP($AR156,"DY997")= "#N/A N/A", _xll.BDP($AR156,"DY997")="#N/A FIELD NOT APPLICABLE"), " ", _xll.BDP($AR156,"DY997"))</f>
        <v>#N/A Connection</v>
      </c>
      <c r="AP156" s="8" t="str" cm="1">
        <f t="array" ref="AP156">IF(OR(_xll.BDP($AR156,"DY784")= "#N/A N/A", _xll.BDP($AR156,"DY784")="#N/A FIELD NOT APPLICABLE"), " ", _xll.BDP($AR156,"DY784"))</f>
        <v>#N/A Connection</v>
      </c>
      <c r="AQ156" s="8" t="str">
        <f t="shared" ref="AQ156" si="37">IF(OR(AO156="Y",AP156="Y"),"Y","N")</f>
        <v>N</v>
      </c>
      <c r="AR156" s="8" t="str">
        <f>CONCATENATE(C156," ",$AR$154)</f>
        <v>ROG SE Equity</v>
      </c>
      <c r="AW156" s="282" t="str" cm="1">
        <f t="array" ref="AW156">_xll.BDP(AR156,"ID005")</f>
        <v>#N/A Connection</v>
      </c>
      <c r="AX156" s="120">
        <v>0.7</v>
      </c>
      <c r="AY156" s="114">
        <v>4</v>
      </c>
      <c r="AZ156" s="115">
        <v>45454</v>
      </c>
      <c r="BA156" s="118">
        <v>1</v>
      </c>
    </row>
    <row r="157" spans="1:53" ht="14.45" customHeight="1" x14ac:dyDescent="0.25">
      <c r="A157" s="8" t="str">
        <f>_xll.BDP(AR157,"SECURITY NAME")</f>
        <v>#N/A Connection</v>
      </c>
      <c r="B157" s="8" t="str">
        <f>_xll.BDP(AR157,"CRNCY")</f>
        <v>#N/A Connection</v>
      </c>
      <c r="C157" s="119" t="s">
        <v>329</v>
      </c>
      <c r="D157" s="8" t="str" cm="1">
        <f t="array" ref="D157">IF(OR(_xll.BDP($AR157,"DX202")= "#N/A N/A", _xll.BDP($AR157,"DX202")="#N/A FIELD NOT APPLICABLE"), " ", _xll.BDP($AR157,"DX202"))</f>
        <v>#N/A Connection</v>
      </c>
      <c r="E157" s="9" t="e">
        <f>_xll.BDP(AR157,"CRNCY_ADJ_MKT_CAP", "EQY_FUND_CRNCY=USD")/1000</f>
        <v>#VALUE!</v>
      </c>
      <c r="F157" s="42">
        <f>IFERROR(_xll.BDP(AR157, "DV013")/100,0)</f>
        <v>0</v>
      </c>
      <c r="G157" s="43" t="str" cm="1">
        <f t="array" ref="G157">IF(OR(_xll.BDP($AR157,"RR900")= "#N/A N/A", _xll.BDP($AR157,"RR900")="#N/A FIELD NOT APPLICABLE"), " ", _xll.BDP($AR157,"RR900"))</f>
        <v>#N/A Connection</v>
      </c>
      <c r="H157" s="43" t="str" cm="1">
        <f t="array" ref="H157">IF(OR(_xll.BDP($AR157,"EE010")= "#N/A N/A", _xll.BDP($AR157,"EE010")="#N/A FIELD NOT APPLICABLE"), " ", _xll.BDP($AR157,"EE010"))</f>
        <v>#N/A Connection</v>
      </c>
      <c r="I157" s="43" t="str" cm="1">
        <f t="array" ref="I157">IF(OR(_xll.BDP($AR157,"RR903")= "#N/A N/A", _xll.BDP($AR157,"RR903")="#N/A FIELD NOT APPLICABLE"), " ", _xll.BDP($AR157,"RR903"))</f>
        <v>#N/A Connection</v>
      </c>
      <c r="J157" s="43" t="str" cm="1">
        <f t="array" ref="J157">IF(OR(_xll.BDP($AR157,"RR957")= "#N/A N/A", _xll.BDP($AR157,"RR957")="#N/A FIELD NOT APPLICABLE"), " ", _xll.BDP($AR157,"RR957"))</f>
        <v>#N/A Connection</v>
      </c>
      <c r="K157" s="116">
        <v>170</v>
      </c>
      <c r="L157" s="117">
        <v>146.81</v>
      </c>
      <c r="M157" s="8" t="str" cm="1">
        <f t="array" ref="M157">IF(OR(_xll.BDP($AR157,"PX_last")="#N/A N/A",_xll.BDP($AR157,"PX_Last")="#N/A FIELD NOT APPLICABLE")," ",IF(B157="GBP",(_xll.BDP($AR157,"PX_LAST")/100),(_xll.BDP($AR157,"PX_LAST"))))</f>
        <v>#N/A Connection</v>
      </c>
      <c r="N157" s="10" t="e">
        <f>IF(B157="USD",U157,(((_xll.BDP(B157&amp;"USD CURNCY","PX_LAST")))*U157))</f>
        <v>#VALUE!</v>
      </c>
      <c r="O157" s="10" t="e">
        <f>IF(B157="USD",V157,(((_xll.BDP(B157&amp;"USD CURNCY","PX_LAST")))*V157))</f>
        <v>#VALUE!</v>
      </c>
      <c r="P157" s="146" t="e">
        <f t="shared" si="34"/>
        <v>#VALUE!</v>
      </c>
      <c r="Q157" s="237" t="e">
        <f>P157/N157</f>
        <v>#VALUE!</v>
      </c>
      <c r="R157" s="237" t="e">
        <f>O157/$D$49</f>
        <v>#VALUE!</v>
      </c>
      <c r="S157" s="9">
        <f>IFERROR(O157*F157,0)</f>
        <v>0</v>
      </c>
      <c r="T157" s="9" t="e">
        <f>O157</f>
        <v>#VALUE!</v>
      </c>
      <c r="U157" s="10">
        <f>L157*K157</f>
        <v>24957.7</v>
      </c>
      <c r="V157" s="10">
        <f>IFERROR(K157*M157,0)</f>
        <v>0</v>
      </c>
      <c r="W157" s="24" t="str" cm="1">
        <f t="array" ref="W157">VLOOKUP(IF(NOT(_xll.BDP(AR157,$BQ$5)="#N/A N/A"),(_xll.BDP(AR157,$BQ$5)),"-"), '[1]Country Codes'!$A$2:$B$253,2,0)</f>
        <v>United States</v>
      </c>
      <c r="X157" s="45" t="str" cm="1">
        <f t="array" ref="X157">IF(OR(_xll.BDP($AR157,"EX028")= "#N/A N/A", _xll.BDP($AR157,"EX028")="#N/A FIELD NOT APPLICABLE"), " ", _xll.BDP($AR157,"EX028"))</f>
        <v>#N/A Connection</v>
      </c>
      <c r="Y157" s="46" t="str">
        <f t="shared" ref="Y157" si="38">IF(("AS97"="Equity"), " ", "Single Line Equity")</f>
        <v>Single Line Equity</v>
      </c>
      <c r="Z157" s="43" t="str" cm="1">
        <f t="array" ref="Z157">IF(OR(_xll.BDP($AR157,"RR908")= "#N/A N/A", _xll.BDP($AR157,"RR908")="#N/A FIELD NOT APPLICABLE"), " ", _xll.BDP($AR157,"RR908"))</f>
        <v>#N/A Connection</v>
      </c>
      <c r="AA157" s="43" t="str" cm="1">
        <f t="array" ref="AA157">IF(OR(_xll.BDP($AR157,"RR041")= "#N/A N/A", _xll.BDP($AR157,"RR041")="#N/A FIELD NOT APPLICABLE"), " ", _xll.BDP($AR157,"RR041"))</f>
        <v>#N/A Connection</v>
      </c>
      <c r="AB157" s="8" t="str">
        <f>_xll.BDP(AR157,"TOT_BUY_REC")</f>
        <v>#N/A Connection</v>
      </c>
      <c r="AC157" s="8" t="str">
        <f>_xll.BDP(AR157,"TOT_HOLD_REC")</f>
        <v>#N/A Connection</v>
      </c>
      <c r="AD157" s="8" t="str">
        <f>_xll.BDP(AR157,"TOT_SELL_REC")</f>
        <v>#N/A Connection</v>
      </c>
      <c r="AE157" s="43" t="str" cm="1">
        <f t="array" ref="AE157">IF(OR(_xll.BDP($AR157,"EE201")= "#N/A N/A", _xll.BDP($AR157,"EE201")="#N/A FIELD NOT APPLICABLE"), " ", _xll.BDP($AR157,"EE201"))</f>
        <v>#N/A Connection</v>
      </c>
      <c r="AF157" s="9" t="str">
        <f>_xll.BDP(AR157,"BEST_TARGET_PRICE")</f>
        <v>#N/A Connection</v>
      </c>
      <c r="AG157" s="44" t="e">
        <f>(AF157/M157)-1</f>
        <v>#VALUE!</v>
      </c>
      <c r="AH157" s="44" t="e">
        <f>_xll.BDP(AR157,"PR061")/100</f>
        <v>#VALUE!</v>
      </c>
      <c r="AI157" s="44" t="e">
        <f>_xll.BDP(AR157,"PR064")/100</f>
        <v>#VALUE!</v>
      </c>
      <c r="AJ157" s="44" t="e">
        <f>_xll.BDP(AR157,"CHG_PCT_6M")/100</f>
        <v>#VALUE!</v>
      </c>
      <c r="AK157" s="42" t="e">
        <f>_xll.BDP(AR157,"PR079")/100</f>
        <v>#VALUE!</v>
      </c>
      <c r="AL157" s="47" t="str">
        <f>_xll.BDP(AR157,"hs001")</f>
        <v>#N/A Connection</v>
      </c>
      <c r="AM157" s="47" t="str">
        <f>_xll.BDP(AR157,"hs002")</f>
        <v>#N/A Connection</v>
      </c>
      <c r="AN157" s="8" t="str" cm="1">
        <f t="array" ref="AN157">IF(OR(_xll.BDP($AR157,"DX202")= "#N/A N/A", _xll.BDP($AR157,"DX202")="#N/A FIELD NOT APPLICABLE"), " ", _xll.BDP($AR157,"DX202"))</f>
        <v>#N/A Connection</v>
      </c>
      <c r="AO157" s="8" t="str" cm="1">
        <f t="array" ref="AO157">IF(OR(_xll.BDP($AR157,"DY997")= "#N/A N/A", _xll.BDP($AR157,"DY997")="#N/A FIELD NOT APPLICABLE"), " ", _xll.BDP($AR157,"DY997"))</f>
        <v>#N/A Connection</v>
      </c>
      <c r="AP157" s="8" t="str" cm="1">
        <f t="array" ref="AP157">IF(OR(_xll.BDP($AR157,"DY784")= "#N/A N/A", _xll.BDP($AR157,"DY784")="#N/A FIELD NOT APPLICABLE"), " ", _xll.BDP($AR157,"DY784"))</f>
        <v>#N/A Connection</v>
      </c>
      <c r="AQ157" s="8" t="str">
        <f t="shared" si="35"/>
        <v>N</v>
      </c>
      <c r="AR157" s="8" t="str">
        <f>CONCATENATE(C157," ",$AR$154)</f>
        <v>JNJ UN Equity</v>
      </c>
      <c r="AW157" s="282" t="str" cm="1">
        <f t="array" ref="AW157">_xll.BDP(AR157,"ID005")</f>
        <v>#N/A Connection</v>
      </c>
      <c r="AX157" s="120">
        <v>0.7</v>
      </c>
      <c r="AY157" s="114">
        <v>4</v>
      </c>
      <c r="AZ157" s="115">
        <v>45454</v>
      </c>
      <c r="BA157" s="118">
        <v>1</v>
      </c>
    </row>
    <row r="158" spans="1:53" ht="14.45" customHeight="1" thickBot="1" x14ac:dyDescent="0.3">
      <c r="A158" s="48"/>
      <c r="B158" s="48"/>
      <c r="C158" s="48"/>
      <c r="D158" s="48"/>
      <c r="E158" s="48"/>
      <c r="F158" s="49">
        <f>IFERROR(SUMPRODUCT(F155:F157,O155:O157)/O158,0)</f>
        <v>0</v>
      </c>
      <c r="G158" s="195"/>
      <c r="H158" s="48"/>
      <c r="I158" s="50"/>
      <c r="J158" s="51"/>
      <c r="K158" s="50"/>
      <c r="L158" s="52"/>
      <c r="M158" s="48"/>
      <c r="N158" s="53">
        <f>IFERROR(SUM(N155:N157),0)</f>
        <v>0</v>
      </c>
      <c r="O158" s="53">
        <f>IFERROR(SUM(O155:O157),0)</f>
        <v>0</v>
      </c>
      <c r="P158" s="221">
        <f>IFERROR(O158-N158,0)</f>
        <v>0</v>
      </c>
      <c r="Q158" s="239">
        <f>IFERROR(SUMPRODUCT(Q155:Q157,N155:N157)/N158,0)</f>
        <v>0</v>
      </c>
      <c r="R158" s="239">
        <f>IFERROR(SUM(R155:R157),0)</f>
        <v>0</v>
      </c>
      <c r="S158" s="53">
        <f>IFERROR(SUM(S155:S157),0)</f>
        <v>779.21302196407316</v>
      </c>
      <c r="T158" s="53">
        <f>IFERROR(SUM(T155:T157),0)</f>
        <v>0</v>
      </c>
      <c r="U158" s="54"/>
      <c r="V158" s="49"/>
      <c r="W158" s="52"/>
      <c r="X158" s="48"/>
      <c r="Y158" s="49"/>
      <c r="Z158" s="51"/>
      <c r="AA158" s="56"/>
      <c r="AB158" s="57"/>
      <c r="AC158" s="48"/>
      <c r="AD158" s="48"/>
      <c r="AE158" s="48"/>
      <c r="AF158" s="50"/>
      <c r="AG158" s="57"/>
      <c r="AH158" s="57"/>
      <c r="AI158" s="57"/>
      <c r="AJ158" s="57"/>
      <c r="AK158" s="52"/>
      <c r="AL158" s="52"/>
      <c r="AM158" s="48"/>
      <c r="AN158" s="48"/>
      <c r="AO158" s="48"/>
      <c r="AP158" s="48"/>
      <c r="AQ158" s="48"/>
      <c r="AR158" s="48"/>
      <c r="AW158" s="49"/>
      <c r="AX158" s="49" t="e">
        <f>SUMPRODUCT(AX155:AX157,O155:O157)/O158</f>
        <v>#VALUE!</v>
      </c>
      <c r="AY158" s="55" t="e">
        <f>SUMPRODUCT(AY155:AY157,O155:O157)/O158</f>
        <v>#VALUE!</v>
      </c>
      <c r="AZ158" s="48"/>
      <c r="BA158" s="53"/>
    </row>
    <row r="159" spans="1:53" ht="14.45" customHeight="1" thickTop="1" x14ac:dyDescent="0.25">
      <c r="A159" s="58"/>
      <c r="B159" s="58"/>
      <c r="C159" s="65"/>
      <c r="D159" s="59"/>
      <c r="E159" s="60"/>
      <c r="F159" s="58"/>
      <c r="G159" s="61"/>
      <c r="H159" s="61"/>
      <c r="J159" s="58"/>
      <c r="K159" s="59"/>
      <c r="L159" s="62"/>
      <c r="M159" s="63"/>
      <c r="N159" s="58"/>
      <c r="O159" s="62"/>
      <c r="P159" s="64"/>
      <c r="Q159" s="62"/>
      <c r="R159" s="61"/>
      <c r="S159" s="61"/>
      <c r="T159" s="61"/>
      <c r="U159" s="58"/>
      <c r="W159" s="63"/>
      <c r="Y159" s="58"/>
      <c r="Z159" s="58"/>
      <c r="AC159" s="66"/>
      <c r="AD159" s="66"/>
      <c r="AE159" s="66"/>
      <c r="AG159" s="58"/>
      <c r="AH159" s="60"/>
      <c r="AI159" s="58"/>
      <c r="AJ159" s="58"/>
      <c r="AK159" s="58"/>
      <c r="AL159" s="58"/>
      <c r="AM159" s="58"/>
      <c r="AN159" s="58"/>
      <c r="AO159" s="58"/>
      <c r="AP159" s="58"/>
    </row>
    <row r="160" spans="1:53" ht="14.45" customHeight="1" x14ac:dyDescent="0.25">
      <c r="A160" s="58"/>
      <c r="B160" s="58"/>
      <c r="C160" s="65"/>
      <c r="D160" s="59"/>
      <c r="E160" s="60"/>
      <c r="F160" s="58"/>
      <c r="G160" s="61"/>
      <c r="H160" s="61"/>
      <c r="J160" s="58"/>
      <c r="K160" s="59"/>
      <c r="L160" s="62"/>
      <c r="M160" s="63"/>
      <c r="N160" s="58"/>
      <c r="O160" s="62"/>
      <c r="P160" s="64"/>
      <c r="Q160" s="61"/>
      <c r="R160" s="61"/>
      <c r="S160" s="61"/>
      <c r="T160" s="61"/>
      <c r="U160" s="58"/>
      <c r="W160" s="63"/>
      <c r="Y160" s="58"/>
      <c r="Z160" s="58"/>
      <c r="AC160" s="66"/>
      <c r="AD160" s="66"/>
      <c r="AE160" s="66"/>
      <c r="AG160" s="58"/>
      <c r="AH160" s="60"/>
      <c r="AI160" s="58"/>
      <c r="AJ160" s="58"/>
      <c r="AK160" s="58"/>
      <c r="AL160" s="58"/>
      <c r="AM160" s="58"/>
      <c r="AN160" s="58"/>
      <c r="AO160" s="58"/>
      <c r="AP160" s="58"/>
    </row>
    <row r="161" spans="1:53" ht="14.45" customHeight="1" x14ac:dyDescent="0.25">
      <c r="A161" s="26" t="s">
        <v>52</v>
      </c>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29"/>
      <c r="AT161" s="229"/>
      <c r="AU161" s="229"/>
      <c r="AV161" s="229"/>
    </row>
    <row r="162" spans="1:53" ht="30.75" customHeight="1" x14ac:dyDescent="0.25">
      <c r="A162" s="199" t="s">
        <v>4</v>
      </c>
      <c r="B162" s="199" t="s">
        <v>54</v>
      </c>
      <c r="C162" s="199" t="s">
        <v>6</v>
      </c>
      <c r="D162" s="199" t="s">
        <v>29</v>
      </c>
      <c r="E162" s="199" t="s">
        <v>30</v>
      </c>
      <c r="F162" s="199" t="s">
        <v>16</v>
      </c>
      <c r="G162" s="199" t="s">
        <v>58</v>
      </c>
      <c r="H162" s="214" t="s">
        <v>56</v>
      </c>
      <c r="I162" s="199" t="s">
        <v>191</v>
      </c>
      <c r="J162" s="199" t="s">
        <v>31</v>
      </c>
      <c r="K162" s="199" t="s">
        <v>17</v>
      </c>
      <c r="L162" s="199" t="s">
        <v>153</v>
      </c>
      <c r="M162" s="214" t="s">
        <v>5</v>
      </c>
      <c r="N162" s="199" t="s">
        <v>155</v>
      </c>
      <c r="O162" s="199" t="s">
        <v>92</v>
      </c>
      <c r="P162" s="199" t="s">
        <v>116</v>
      </c>
      <c r="Q162" s="214" t="s">
        <v>334</v>
      </c>
      <c r="R162" s="199" t="s">
        <v>146</v>
      </c>
      <c r="S162" s="199" t="s">
        <v>57</v>
      </c>
      <c r="T162" s="199" t="s">
        <v>24</v>
      </c>
      <c r="U162" s="214" t="s">
        <v>160</v>
      </c>
      <c r="V162" s="214" t="s">
        <v>18</v>
      </c>
      <c r="W162" s="199" t="s">
        <v>193</v>
      </c>
      <c r="X162" s="214" t="s">
        <v>194</v>
      </c>
      <c r="Y162" s="199" t="s">
        <v>195</v>
      </c>
      <c r="Z162" s="199" t="s">
        <v>196</v>
      </c>
      <c r="AA162" s="199" t="s">
        <v>197</v>
      </c>
      <c r="AB162" s="199" t="s">
        <v>74</v>
      </c>
      <c r="AC162" s="199" t="s">
        <v>198</v>
      </c>
      <c r="AD162" s="199" t="s">
        <v>199</v>
      </c>
      <c r="AE162" s="199" t="s">
        <v>200</v>
      </c>
      <c r="AF162" s="199" t="s">
        <v>201</v>
      </c>
      <c r="AG162" s="199" t="s">
        <v>202</v>
      </c>
      <c r="AH162" s="199" t="s">
        <v>203</v>
      </c>
      <c r="AI162" s="199" t="s">
        <v>204</v>
      </c>
      <c r="AJ162" s="199" t="s">
        <v>205</v>
      </c>
      <c r="AK162" s="199" t="s">
        <v>206</v>
      </c>
      <c r="AL162" s="199" t="s">
        <v>207</v>
      </c>
      <c r="AM162" s="199" t="s">
        <v>208</v>
      </c>
      <c r="AN162" s="199" t="s">
        <v>209</v>
      </c>
      <c r="AO162" s="199" t="s">
        <v>188</v>
      </c>
      <c r="AP162" s="199" t="s">
        <v>189</v>
      </c>
      <c r="AQ162" s="199" t="s">
        <v>190</v>
      </c>
      <c r="AR162" s="199" t="s">
        <v>6</v>
      </c>
      <c r="AW162" s="199" t="s">
        <v>8</v>
      </c>
      <c r="AX162" s="214" t="s">
        <v>65</v>
      </c>
      <c r="AY162" s="199" t="s">
        <v>147</v>
      </c>
      <c r="AZ162" s="199" t="s">
        <v>162</v>
      </c>
      <c r="BA162" s="199" t="s">
        <v>192</v>
      </c>
    </row>
    <row r="163" spans="1:53" ht="14.45" customHeight="1" x14ac:dyDescent="0.25">
      <c r="A163" s="8" t="str">
        <f>_xll.BDP(AR163,"SECURITY NAME")</f>
        <v>#N/A Connection</v>
      </c>
      <c r="B163" s="8" t="str">
        <f>_xll.BDP(AR163,"CRNCY")</f>
        <v>#N/A Connection</v>
      </c>
      <c r="C163" s="119" t="s">
        <v>320</v>
      </c>
      <c r="D163" s="8" t="str" cm="1">
        <f t="array" ref="D163">IF(OR(_xll.BDP($AR163,"FD120")="#N/A N/A",_xll.BDP($AR163,"FD120")="#N/A FIELD NOT APPLICABLE")," ",_xll.BDP($AR163,"FD120"))</f>
        <v>#N/A Connection</v>
      </c>
      <c r="E163" s="8" t="str" cm="1">
        <f t="array" ref="E163">IF(OR(_xll.BDP($AR163,"FD116")="#N/A N/A",_xll.BDP($AR163,"FD116")="#N/A FIELD NOT APPLICABLE")," ",_xll.BDP($AR163,"FD116"))</f>
        <v>#N/A Connection</v>
      </c>
      <c r="F163" s="8" t="str" cm="1">
        <f t="array" ref="F163">IF(OR(_xll.BDP($AR163,"FD133")="#N/A N/A",_xll.BDP($AR163,"FD133")="#N/A FIELD NOT APPLICABLE")," ", _xll.BDP($AR163,"FD133"))</f>
        <v>#N/A Connection</v>
      </c>
      <c r="G163" s="11" t="e">
        <f>_xll.BDP(AR163,"FUND_ASSETS_USD")/1000</f>
        <v>#VALUE!</v>
      </c>
      <c r="H163" s="42">
        <f>IFERROR(_xll.BDP(AR163, "DV013")/100,0)</f>
        <v>0</v>
      </c>
      <c r="I163" s="42" t="e" cm="1">
        <f t="array" ref="I163">IF(OR(_xll.BDP($AR163,"PR079")="#N/A N/A",_xll.BDP($AR163,"PR079")="#N/A FIELD NOT APPLICABLE")," ", _xll.BDP($AR163,"PR079")/100)</f>
        <v>#VALUE!</v>
      </c>
      <c r="J163" s="42" t="e" cm="1">
        <f t="array" ref="J163">IF(OR(_xll.BDP($AR163,"RT074")="#N/A N/A",_xll.BDP($AR163,"RT074")="#N/A FIELD NOT APPLICABLE")," ", _xll.BDP($AR163,"RT074")/100)</f>
        <v>#VALUE!</v>
      </c>
      <c r="K163" s="116">
        <v>490</v>
      </c>
      <c r="L163" s="117">
        <v>91.967799999999997</v>
      </c>
      <c r="M163" s="8" t="str" cm="1">
        <f t="array" ref="M163">IF(OR(_xll.BDP($AR163,"PX_last")="#N/A N/A",_xll.BDP($AR163,"PX_Last")="#N/A FIELD NOT APPLICABLE")," ",IF(B163="GBP",(_xll.BDP($AR163,"PX_LAST")/100),(_xll.BDP($AR163,"PX_LAST"))))</f>
        <v>#N/A Connection</v>
      </c>
      <c r="N163" s="10" t="e">
        <f>IF(B163="USD",U163,(((_xll.BDP(B163&amp;"USD CURNCY","PX_LAST")))*U163))</f>
        <v>#VALUE!</v>
      </c>
      <c r="O163" s="10" t="e">
        <f>IF(B163="USD",V163,(((_xll.BDP(B163&amp;"USD CURNCY","PX_LAST")))*V163))</f>
        <v>#VALUE!</v>
      </c>
      <c r="P163" s="146" t="e">
        <f t="shared" ref="P163" si="39">O163-N163</f>
        <v>#VALUE!</v>
      </c>
      <c r="Q163" s="237" t="e">
        <f t="shared" ref="Q163:Q169" si="40">P163/N163</f>
        <v>#VALUE!</v>
      </c>
      <c r="R163" s="237" t="e">
        <f t="shared" ref="R163:R169" si="41">O163/$D$49</f>
        <v>#VALUE!</v>
      </c>
      <c r="S163" s="10">
        <f t="shared" ref="S163:S169" si="42">IFERROR(O163*H163,0)</f>
        <v>0</v>
      </c>
      <c r="T163" s="10" t="e">
        <f t="shared" ref="T163:T169" si="43">O163</f>
        <v>#VALUE!</v>
      </c>
      <c r="U163" s="10">
        <f t="shared" ref="U163:U169" si="44">L163*K163</f>
        <v>45064.222000000002</v>
      </c>
      <c r="V163" s="10">
        <f t="shared" ref="V163:V169" si="45">IFERROR(K163*M163,0)</f>
        <v>0</v>
      </c>
      <c r="W163" s="42" t="str" cm="1">
        <f t="array" ref="W163">IF(OR(_xll.BDP($AR163,"EX028")="#N/A N/A",_xll.BDP($AR163,"EX028")="#N/A FIELD NOT APPLICABLE")," ", _xll.BDP($AR163,"EX028"))</f>
        <v>#N/A Connection</v>
      </c>
      <c r="X163" s="67" t="str" cm="1">
        <f t="array" ref="X163">IF(OR(_xll.BDP($AR163,"FD121")="#N/A N/A",_xll.BDP($AR163,"FD121")="#N/A FIELD NOT APPLICABLE")," ", _xll.BDP($AR163,"FD121"))</f>
        <v>#N/A Connection</v>
      </c>
      <c r="Y163" s="42" t="str" cm="1">
        <f t="array" ref="Y163">IF(OR(_xll.BDP($AR163,"FD118")="#N/A N/A",_xll.BDP($AR163,"FD118")="#N/A FIELD NOT APPLICABLE")," ", _xll.BDP($AR163,"FD118"))</f>
        <v>#N/A Connection</v>
      </c>
      <c r="Z163" s="8" t="str" cm="1">
        <f t="array" ref="Z163">IF(OR(_xll.BDP($AR163,"FD114")="#N/A N/A",_xll.BDP($AR163,"FD114")="#N/A FIELD NOT APPLICABLE")," ", _xll.BDP($AR163,"FD114"))</f>
        <v>#N/A Connection</v>
      </c>
      <c r="AA163" s="8" t="str" cm="1">
        <f t="array" ref="AA163">IF(OR(_xll.BDP($AR163,"FD003")="#N/A N/A",_xll.BDP($AR163,"FD003")="#N/A FIELD NOT APPLICABLE")," ", _xll.BDP($AR163,"FD003"))</f>
        <v>#N/A Connection</v>
      </c>
      <c r="AB163" s="44" t="e" cm="1">
        <f t="array" ref="AB163">IF(OR(_xll.BDP($AR163,"PR061")="#N/A N/A",_xll.BDP($AR163,"PR061")="#N/A FIELD NOT APPLICABLE")," ", _xll.BDP($AR163,"PR061")/100)</f>
        <v>#VALUE!</v>
      </c>
      <c r="AC163" s="42" t="e" cm="1">
        <f t="array" ref="AC163">IF(OR(_xll.BDP($AR163,"RT075")="#N/A N/A",_xll.BDP($AR163,"RT075")="#N/A FIELD NOT APPLICABLE")," ", _xll.BDP($AR163,"RT075")/100)</f>
        <v>#VALUE!</v>
      </c>
      <c r="AD163" s="42" t="e" cm="1">
        <f t="array" ref="AD163">IF(OR(_xll.BDP($AR163,"RT076")="#N/A N/A",_xll.BDP($AR163,"RT076")="#N/A FIELD NOT APPLICABLE")," ", _xll.BDP($AR163,"RT076")/100)</f>
        <v>#VALUE!</v>
      </c>
      <c r="AE163" s="42" t="e" cm="1">
        <f t="array" ref="AE163">IF(OR(_xll.BDP($AR163,"FD252")="#N/A N/A",_xll.BDP($AR163,"FD252")="#N/A FIELD NOT APPLICABLE")," ", _xll.BDP($AR163,"FD252")/100)</f>
        <v>#VALUE!</v>
      </c>
      <c r="AF163" s="42" t="e" cm="1">
        <f t="array" ref="AF163">IF(OR(_xll.BDP($AR163,"FD015")="#N/A N/A",_xll.BDP($AR163,"FD015")="#N/A FIELD NOT APPLICABLE")," ", _xll.BDP($AR163,"FD015")/100)</f>
        <v>#VALUE!</v>
      </c>
      <c r="AG163" s="42" t="e" cm="1">
        <f t="array" ref="AG163">IF(OR(_xll.BDP($AR163,"FD138")="#N/A N/A",_xll.BDP($AR163,"FD138")="#N/A FIELD NOT APPLICABLE")," ", _xll.BDP($AR163,"FD138")/100)</f>
        <v>#VALUE!</v>
      </c>
      <c r="AH163" s="68" t="e" cm="1">
        <f t="array" ref="AH163">IF(OR(_xll.BDP($AR163,"FD009")="#N/A N/A",_xll.BDP($AR163,"FD009")="#N/A FIELD NOT APPLICABLE")," ", _xll.BDP($AR163,"FD009")/100)</f>
        <v>#VALUE!</v>
      </c>
      <c r="AI163" s="42" t="e" cm="1">
        <f t="array" ref="AI163">IF(OR(_xll.BDP($AR163,"RK512")="#N/A N/A",_xll.BDP($AR163,"RK512")="#N/A FIELD NOT APPLICABLE")," ", _xll.BDP($AR163,"RK512")/100)</f>
        <v>#VALUE!</v>
      </c>
      <c r="AJ163" s="42" t="e" cm="1">
        <f t="array" ref="AJ163">IF(OR(_xll.BDP($AR163,"RK514")="#N/A N/A",_xll.BDP($AR163,"RK514")="#N/A FIELD NOT APPLICABLE")," ", _xll.BDP($AR163,"RK514")/100)</f>
        <v>#VALUE!</v>
      </c>
      <c r="AK163" s="42" t="e" cm="1">
        <f t="array" ref="AK163">IF(OR(_xll.BDP($AR163,"RK521")="#N/A N/A",_xll.BDP($AR163,"RK521")="#N/A FIELD NOT APPLICABLE")," ", _xll.BDP($AR163,"RK521")/100)</f>
        <v>#VALUE!</v>
      </c>
      <c r="AL163" s="42" t="e" cm="1">
        <f t="array" ref="AL163">IF(OR(_xll.BDP($AR163,"RK525")="#N/A N/A",_xll.BDP($AR163,"RK525")="#N/A FIELD NOT APPLICABLE")," ", _xll.BDP($AR163,"RK525")/100)</f>
        <v>#VALUE!</v>
      </c>
      <c r="AM163" s="42" t="e" cm="1">
        <f t="array" ref="AM163">IF(OR(_xll.BDP($AR163,"RK524")="#N/A N/A",_xll.BDP($AR163,"RK524")="#N/A FIELD NOT APPLICABLE")," ", _xll.BDP($AR163,"RK524")/100)</f>
        <v>#VALUE!</v>
      </c>
      <c r="AN163" s="42" t="str" cm="1">
        <f t="array" ref="AN163">IF(OR(_xll.BDP($AR163,"FD183")="#N/A N/A",_xll.BDP($AR163,"FD183")="#N/A FIELD NOT APPLICABLE")," ", _xll.BDP($AR163,"FD183"))</f>
        <v>#N/A Connection</v>
      </c>
      <c r="AO163" s="42" t="str" cm="1">
        <f t="array" ref="AO163">IF(OR(_xll.BDP($AR163,"DY997")="#N/A N/A",_xll.BDP($AR163,"DY997")="#N/A FIELD NOT APPLICABLE")," ", _xll.BDP($AR163,"DY997"))</f>
        <v>#N/A Connection</v>
      </c>
      <c r="AP163" s="42" t="str" cm="1">
        <f t="array" ref="AP163">IF(OR(_xll.BDP($AR163,"DY784")="#N/A N/A",_xll.BDP($AR163,"DY784")="#N/A FIELD NOT APPLICABLE")," ", _xll.BDP($AR163,"DY784"))</f>
        <v>#N/A Connection</v>
      </c>
      <c r="AQ163" s="8" t="str">
        <f t="shared" ref="AQ163" si="46">IF(OR(AO163="Y",AP163="Y"),"Y","N")</f>
        <v>N</v>
      </c>
      <c r="AR163" s="8" t="str">
        <f t="shared" ref="AR163:AR169" si="47">CONCATENATE(C163," ",$AR$154)</f>
        <v>TLT UW Equity</v>
      </c>
      <c r="AW163" s="282" t="str" cm="1">
        <f t="array" ref="AW163">_xll.BDP(AR163,"ID005")</f>
        <v>#N/A Connection</v>
      </c>
      <c r="AX163" s="121">
        <v>0.65</v>
      </c>
      <c r="AY163" s="119">
        <v>5</v>
      </c>
      <c r="AZ163" s="137">
        <v>45420</v>
      </c>
      <c r="BA163" s="118">
        <v>1.0000000000107532</v>
      </c>
    </row>
    <row r="164" spans="1:53" ht="14.45" customHeight="1" x14ac:dyDescent="0.25">
      <c r="A164" s="8" t="str">
        <f>_xll.BDP(AR164,"SECURITY NAME")</f>
        <v>#N/A Connection</v>
      </c>
      <c r="B164" s="8" t="str">
        <f>_xll.BDP(AR164,"CRNCY")</f>
        <v>#N/A Connection</v>
      </c>
      <c r="C164" s="119" t="s">
        <v>321</v>
      </c>
      <c r="D164" s="8" t="str" cm="1">
        <f t="array" ref="D164">IF(OR(_xll.BDP($AR164,"FD120")="#N/A N/A",_xll.BDP($AR164,"FD120")="#N/A FIELD NOT APPLICABLE")," ",_xll.BDP($AR164,"FD120"))</f>
        <v>#N/A Connection</v>
      </c>
      <c r="E164" s="8" t="str" cm="1">
        <f t="array" ref="E164">IF(OR(_xll.BDP($AR164,"FD116")="#N/A N/A",_xll.BDP($AR164,"FD116")="#N/A FIELD NOT APPLICABLE")," ",_xll.BDP($AR164,"FD116"))</f>
        <v>#N/A Connection</v>
      </c>
      <c r="F164" s="8" t="str" cm="1">
        <f t="array" ref="F164">IF(OR(_xll.BDP($AR164,"FD133")="#N/A N/A",_xll.BDP($AR164,"FD133")="#N/A FIELD NOT APPLICABLE")," ", _xll.BDP($AR164,"FD133"))</f>
        <v>#N/A Connection</v>
      </c>
      <c r="G164" s="11" t="e">
        <f>_xll.BDP(AR164,"FUND_ASSETS_USD")/1000</f>
        <v>#VALUE!</v>
      </c>
      <c r="H164" s="42">
        <f>IFERROR(_xll.BDP(AR164, "DV013")/100,0)</f>
        <v>0</v>
      </c>
      <c r="I164" s="42" t="e" cm="1">
        <f t="array" ref="I164">IF(OR(_xll.BDP($AR164,"PR079")="#N/A N/A",_xll.BDP($AR164,"PR079")="#N/A FIELD NOT APPLICABLE")," ", _xll.BDP($AR164,"PR079")/100)</f>
        <v>#VALUE!</v>
      </c>
      <c r="J164" s="42" t="e" cm="1">
        <f t="array" ref="J164">IF(OR(_xll.BDP($AR164,"RT074")="#N/A N/A",_xll.BDP($AR164,"RT074")="#N/A FIELD NOT APPLICABLE")," ", _xll.BDP($AR164,"RT074")/100)</f>
        <v>#VALUE!</v>
      </c>
      <c r="K164" s="116">
        <v>300</v>
      </c>
      <c r="L164" s="117">
        <v>166.17</v>
      </c>
      <c r="M164" s="8" t="str" cm="1">
        <f t="array" ref="M164">IF(OR(_xll.BDP($AR164,"PX_last")="#N/A N/A",_xll.BDP($AR164,"PX_Last")="#N/A FIELD NOT APPLICABLE")," ",IF(B164="GBP",(_xll.BDP($AR164,"PX_LAST")/100),(_xll.BDP($AR164,"PX_LAST"))))</f>
        <v>#N/A Connection</v>
      </c>
      <c r="N164" s="10" t="e">
        <f>IF(B164="USD",U164,(((_xll.BDP(B164&amp;"USD CURNCY","PX_LAST")))*U164))</f>
        <v>#VALUE!</v>
      </c>
      <c r="O164" s="10" t="e">
        <f>IF(B164="USD",V164,(((_xll.BDP(B164&amp;"USD CURNCY","PX_LAST")))*V164))</f>
        <v>#VALUE!</v>
      </c>
      <c r="P164" s="146" t="e">
        <f t="shared" ref="P164:P169" si="48">O164-N164</f>
        <v>#VALUE!</v>
      </c>
      <c r="Q164" s="237" t="e">
        <f t="shared" si="40"/>
        <v>#VALUE!</v>
      </c>
      <c r="R164" s="237" t="e">
        <f t="shared" si="41"/>
        <v>#VALUE!</v>
      </c>
      <c r="S164" s="10">
        <f t="shared" si="42"/>
        <v>0</v>
      </c>
      <c r="T164" s="10" t="e">
        <f t="shared" si="43"/>
        <v>#VALUE!</v>
      </c>
      <c r="U164" s="10">
        <f t="shared" si="44"/>
        <v>49850.999999999993</v>
      </c>
      <c r="V164" s="10">
        <f t="shared" si="45"/>
        <v>0</v>
      </c>
      <c r="W164" s="42" t="str" cm="1">
        <f t="array" ref="W164">IF(OR(_xll.BDP($AR164,"EX028")="#N/A N/A",_xll.BDP($AR164,"EX028")="#N/A FIELD NOT APPLICABLE")," ", _xll.BDP($AR164,"EX028"))</f>
        <v>#N/A Connection</v>
      </c>
      <c r="X164" s="67" t="str" cm="1">
        <f t="array" ref="X164">IF(OR(_xll.BDP($AR164,"FD121")="#N/A N/A",_xll.BDP($AR164,"FD121")="#N/A FIELD NOT APPLICABLE")," ", _xll.BDP($AR164,"FD121"))</f>
        <v>#N/A Connection</v>
      </c>
      <c r="Y164" s="42" t="str" cm="1">
        <f t="array" ref="Y164">IF(OR(_xll.BDP($AR164,"FD118")="#N/A N/A",_xll.BDP($AR164,"FD118")="#N/A FIELD NOT APPLICABLE")," ", _xll.BDP($AR164,"FD118"))</f>
        <v>#N/A Connection</v>
      </c>
      <c r="Z164" s="8" t="str" cm="1">
        <f t="array" ref="Z164">IF(OR(_xll.BDP($AR164,"FD114")="#N/A N/A",_xll.BDP($AR164,"FD114")="#N/A FIELD NOT APPLICABLE")," ", _xll.BDP($AR164,"FD114"))</f>
        <v>#N/A Connection</v>
      </c>
      <c r="AA164" s="8" t="str" cm="1">
        <f t="array" ref="AA164">IF(OR(_xll.BDP($AR164,"FD003")="#N/A N/A",_xll.BDP($AR164,"FD003")="#N/A FIELD NOT APPLICABLE")," ", _xll.BDP($AR164,"FD003"))</f>
        <v>#N/A Connection</v>
      </c>
      <c r="AB164" s="44" t="e" cm="1">
        <f t="array" ref="AB164">IF(OR(_xll.BDP($AR164,"PR061")="#N/A N/A",_xll.BDP($AR164,"PR061")="#N/A FIELD NOT APPLICABLE")," ", _xll.BDP($AR164,"PR061")/100)</f>
        <v>#VALUE!</v>
      </c>
      <c r="AC164" s="42" t="e" cm="1">
        <f t="array" ref="AC164">IF(OR(_xll.BDP($AR164,"RT075")="#N/A N/A",_xll.BDP($AR164,"RT075")="#N/A FIELD NOT APPLICABLE")," ", _xll.BDP($AR164,"RT075")/100)</f>
        <v>#VALUE!</v>
      </c>
      <c r="AD164" s="42" t="e" cm="1">
        <f t="array" ref="AD164">IF(OR(_xll.BDP($AR164,"RT076")="#N/A N/A",_xll.BDP($AR164,"RT076")="#N/A FIELD NOT APPLICABLE")," ", _xll.BDP($AR164,"RT076")/100)</f>
        <v>#VALUE!</v>
      </c>
      <c r="AE164" s="42" t="e" cm="1">
        <f t="array" ref="AE164">IF(OR(_xll.BDP($AR164,"FD252")="#N/A N/A",_xll.BDP($AR164,"FD252")="#N/A FIELD NOT APPLICABLE")," ", _xll.BDP($AR164,"FD252")/100)</f>
        <v>#VALUE!</v>
      </c>
      <c r="AF164" s="42" t="e" cm="1">
        <f t="array" ref="AF164">IF(OR(_xll.BDP($AR164,"FD015")="#N/A N/A",_xll.BDP($AR164,"FD015")="#N/A FIELD NOT APPLICABLE")," ", _xll.BDP($AR164,"FD015")/100)</f>
        <v>#VALUE!</v>
      </c>
      <c r="AG164" s="42" t="e" cm="1">
        <f t="array" ref="AG164">IF(OR(_xll.BDP($AR164,"FD138")="#N/A N/A",_xll.BDP($AR164,"FD138")="#N/A FIELD NOT APPLICABLE")," ", _xll.BDP($AR164,"FD138")/100)</f>
        <v>#VALUE!</v>
      </c>
      <c r="AH164" s="68" t="e" cm="1">
        <f t="array" ref="AH164">IF(OR(_xll.BDP($AR164,"FD009")="#N/A N/A",_xll.BDP($AR164,"FD009")="#N/A FIELD NOT APPLICABLE")," ", _xll.BDP($AR164,"FD009")/100)</f>
        <v>#VALUE!</v>
      </c>
      <c r="AI164" s="42" t="e" cm="1">
        <f t="array" ref="AI164">IF(OR(_xll.BDP($AR164,"RK512")="#N/A N/A",_xll.BDP($AR164,"RK512")="#N/A FIELD NOT APPLICABLE")," ", _xll.BDP($AR164,"RK512")/100)</f>
        <v>#VALUE!</v>
      </c>
      <c r="AJ164" s="42" t="e" cm="1">
        <f t="array" ref="AJ164">IF(OR(_xll.BDP($AR164,"RK514")="#N/A N/A",_xll.BDP($AR164,"RK514")="#N/A FIELD NOT APPLICABLE")," ", _xll.BDP($AR164,"RK514")/100)</f>
        <v>#VALUE!</v>
      </c>
      <c r="AK164" s="42" t="e" cm="1">
        <f t="array" ref="AK164">IF(OR(_xll.BDP($AR164,"RK521")="#N/A N/A",_xll.BDP($AR164,"RK521")="#N/A FIELD NOT APPLICABLE")," ", _xll.BDP($AR164,"RK521")/100)</f>
        <v>#VALUE!</v>
      </c>
      <c r="AL164" s="42" t="e" cm="1">
        <f t="array" ref="AL164">IF(OR(_xll.BDP($AR164,"RK525")="#N/A N/A",_xll.BDP($AR164,"RK525")="#N/A FIELD NOT APPLICABLE")," ", _xll.BDP($AR164,"RK525")/100)</f>
        <v>#VALUE!</v>
      </c>
      <c r="AM164" s="42" t="e" cm="1">
        <f t="array" ref="AM164">IF(OR(_xll.BDP($AR164,"RK524")="#N/A N/A",_xll.BDP($AR164,"RK524")="#N/A FIELD NOT APPLICABLE")," ", _xll.BDP($AR164,"RK524")/100)</f>
        <v>#VALUE!</v>
      </c>
      <c r="AN164" s="42" t="str" cm="1">
        <f t="array" ref="AN164">IF(OR(_xll.BDP($AR164,"FD183")="#N/A N/A",_xll.BDP($AR164,"FD183")="#N/A FIELD NOT APPLICABLE")," ", _xll.BDP($AR164,"FD183"))</f>
        <v>#N/A Connection</v>
      </c>
      <c r="AO164" s="42" t="str" cm="1">
        <f t="array" ref="AO164">IF(OR(_xll.BDP($AR164,"DY997")="#N/A N/A",_xll.BDP($AR164,"DY997")="#N/A FIELD NOT APPLICABLE")," ", _xll.BDP($AR164,"DY997"))</f>
        <v>#N/A Connection</v>
      </c>
      <c r="AP164" s="42" t="str" cm="1">
        <f t="array" ref="AP164">IF(OR(_xll.BDP($AR164,"DY784")="#N/A N/A",_xll.BDP($AR164,"DY784")="#N/A FIELD NOT APPLICABLE")," ", _xll.BDP($AR164,"DY784"))</f>
        <v>#N/A Connection</v>
      </c>
      <c r="AQ164" s="8" t="str">
        <f t="shared" ref="AQ164:AQ169" si="49">IF(OR(AO164="Y",AP164="Y"),"Y","N")</f>
        <v>N</v>
      </c>
      <c r="AR164" s="8" t="str">
        <f t="shared" si="47"/>
        <v>ARKW UN Equity</v>
      </c>
      <c r="AW164" s="282" t="str" cm="1">
        <f t="array" ref="AW164">_xll.BDP(AR164,"ID005")</f>
        <v>#N/A Connection</v>
      </c>
      <c r="AX164" s="121">
        <v>0.65</v>
      </c>
      <c r="AY164" s="119">
        <v>5</v>
      </c>
      <c r="AZ164" s="137">
        <v>44958</v>
      </c>
      <c r="BA164" s="118">
        <v>1.0000000000107532</v>
      </c>
    </row>
    <row r="165" spans="1:53" ht="14.45" customHeight="1" x14ac:dyDescent="0.25">
      <c r="A165" s="8" t="str">
        <f>_xll.BDP(AR165,"SECURITY NAME")</f>
        <v>#N/A Connection</v>
      </c>
      <c r="B165" s="8" t="str">
        <f>_xll.BDP(AR165,"CRNCY")</f>
        <v>#N/A Connection</v>
      </c>
      <c r="C165" s="119" t="s">
        <v>322</v>
      </c>
      <c r="D165" s="8" t="str" cm="1">
        <f t="array" ref="D165">IF(OR(_xll.BDP($AR165,"FD120")="#N/A N/A",_xll.BDP($AR165,"FD120")="#N/A FIELD NOT APPLICABLE")," ",_xll.BDP($AR165,"FD120"))</f>
        <v>#N/A Connection</v>
      </c>
      <c r="E165" s="8" t="str" cm="1">
        <f t="array" ref="E165">IF(OR(_xll.BDP($AR165,"FD116")="#N/A N/A",_xll.BDP($AR165,"FD116")="#N/A FIELD NOT APPLICABLE")," ",_xll.BDP($AR165,"FD116"))</f>
        <v>#N/A Connection</v>
      </c>
      <c r="F165" s="8" t="str" cm="1">
        <f t="array" ref="F165">IF(OR(_xll.BDP($AR165,"FD133")="#N/A N/A",_xll.BDP($AR165,"FD133")="#N/A FIELD NOT APPLICABLE")," ", _xll.BDP($AR165,"FD133"))</f>
        <v>#N/A Connection</v>
      </c>
      <c r="G165" s="11" t="e">
        <f>_xll.BDP(AR165,"FUND_ASSETS_USD")/1000</f>
        <v>#VALUE!</v>
      </c>
      <c r="H165" s="42">
        <f>IFERROR(_xll.BDP(AR165, "DV013")/100,0)</f>
        <v>0</v>
      </c>
      <c r="I165" s="42" t="e" cm="1">
        <f t="array" ref="I165">IF(OR(_xll.BDP($AR165,"PR079")="#N/A N/A",_xll.BDP($AR165,"PR079")="#N/A FIELD NOT APPLICABLE")," ", _xll.BDP($AR165,"PR079")/100)</f>
        <v>#VALUE!</v>
      </c>
      <c r="J165" s="42" t="e" cm="1">
        <f t="array" ref="J165">IF(OR(_xll.BDP($AR165,"RT074")="#N/A N/A",_xll.BDP($AR165,"RT074")="#N/A FIELD NOT APPLICABLE")," ", _xll.BDP($AR165,"RT074")/100)</f>
        <v>#VALUE!</v>
      </c>
      <c r="K165" s="116">
        <v>1429</v>
      </c>
      <c r="L165" s="117">
        <v>34.911999999999999</v>
      </c>
      <c r="M165" s="8" t="str" cm="1">
        <f t="array" ref="M165">IF(OR(_xll.BDP($AR165,"PX_last")="#N/A N/A",_xll.BDP($AR165,"PX_Last")="#N/A FIELD NOT APPLICABLE")," ",IF(B165="GBP",(_xll.BDP($AR165,"PX_LAST")/100),(_xll.BDP($AR165,"PX_LAST"))))</f>
        <v>#N/A Connection</v>
      </c>
      <c r="N165" s="10" t="e">
        <f>IF(B165="USD",U165,(((_xll.BDP(B165&amp;"USD CURNCY","PX_LAST")))*U165))</f>
        <v>#VALUE!</v>
      </c>
      <c r="O165" s="10" t="e">
        <f>IF(B165="USD",V165,(((_xll.BDP(B165&amp;"USD CURNCY","PX_LAST")))*V165))</f>
        <v>#VALUE!</v>
      </c>
      <c r="P165" s="146" t="e">
        <f t="shared" si="48"/>
        <v>#VALUE!</v>
      </c>
      <c r="Q165" s="237" t="e">
        <f t="shared" si="40"/>
        <v>#VALUE!</v>
      </c>
      <c r="R165" s="237" t="e">
        <f t="shared" si="41"/>
        <v>#VALUE!</v>
      </c>
      <c r="S165" s="10">
        <f t="shared" si="42"/>
        <v>0</v>
      </c>
      <c r="T165" s="10" t="e">
        <f t="shared" si="43"/>
        <v>#VALUE!</v>
      </c>
      <c r="U165" s="10">
        <f t="shared" si="44"/>
        <v>49889.248</v>
      </c>
      <c r="V165" s="10">
        <f t="shared" si="45"/>
        <v>0</v>
      </c>
      <c r="W165" s="42" t="str" cm="1">
        <f t="array" ref="W165">IF(OR(_xll.BDP($AR165,"EX028")="#N/A N/A",_xll.BDP($AR165,"EX028")="#N/A FIELD NOT APPLICABLE")," ", _xll.BDP($AR165,"EX028"))</f>
        <v>#N/A Connection</v>
      </c>
      <c r="X165" s="67" t="str" cm="1">
        <f t="array" ref="X165">IF(OR(_xll.BDP($AR165,"FD121")="#N/A N/A",_xll.BDP($AR165,"FD121")="#N/A FIELD NOT APPLICABLE")," ", _xll.BDP($AR165,"FD121"))</f>
        <v>#N/A Connection</v>
      </c>
      <c r="Y165" s="42" t="str" cm="1">
        <f t="array" ref="Y165">IF(OR(_xll.BDP($AR165,"FD118")="#N/A N/A",_xll.BDP($AR165,"FD118")="#N/A FIELD NOT APPLICABLE")," ", _xll.BDP($AR165,"FD118"))</f>
        <v>#N/A Connection</v>
      </c>
      <c r="Z165" s="8" t="str" cm="1">
        <f t="array" ref="Z165">IF(OR(_xll.BDP($AR165,"FD114")="#N/A N/A",_xll.BDP($AR165,"FD114")="#N/A FIELD NOT APPLICABLE")," ", _xll.BDP($AR165,"FD114"))</f>
        <v>#N/A Connection</v>
      </c>
      <c r="AA165" s="8" t="str" cm="1">
        <f t="array" ref="AA165">IF(OR(_xll.BDP($AR165,"FD003")="#N/A N/A",_xll.BDP($AR165,"FD003")="#N/A FIELD NOT APPLICABLE")," ", _xll.BDP($AR165,"FD003"))</f>
        <v>#N/A Connection</v>
      </c>
      <c r="AB165" s="44" t="e" cm="1">
        <f t="array" ref="AB165">IF(OR(_xll.BDP($AR165,"PR061")="#N/A N/A",_xll.BDP($AR165,"PR061")="#N/A FIELD NOT APPLICABLE")," ", _xll.BDP($AR165,"PR061")/100)</f>
        <v>#VALUE!</v>
      </c>
      <c r="AC165" s="42" t="e" cm="1">
        <f t="array" ref="AC165">IF(OR(_xll.BDP($AR165,"RT075")="#N/A N/A",_xll.BDP($AR165,"RT075")="#N/A FIELD NOT APPLICABLE")," ", _xll.BDP($AR165,"RT075")/100)</f>
        <v>#VALUE!</v>
      </c>
      <c r="AD165" s="42" t="e" cm="1">
        <f t="array" ref="AD165">IF(OR(_xll.BDP($AR165,"RT076")="#N/A N/A",_xll.BDP($AR165,"RT076")="#N/A FIELD NOT APPLICABLE")," ", _xll.BDP($AR165,"RT076")/100)</f>
        <v>#VALUE!</v>
      </c>
      <c r="AE165" s="42" t="e" cm="1">
        <f t="array" ref="AE165">IF(OR(_xll.BDP($AR165,"FD252")="#N/A N/A",_xll.BDP($AR165,"FD252")="#N/A FIELD NOT APPLICABLE")," ", _xll.BDP($AR165,"FD252")/100)</f>
        <v>#VALUE!</v>
      </c>
      <c r="AF165" s="42" t="e" cm="1">
        <f t="array" ref="AF165">IF(OR(_xll.BDP($AR165,"FD015")="#N/A N/A",_xll.BDP($AR165,"FD015")="#N/A FIELD NOT APPLICABLE")," ", _xll.BDP($AR165,"FD015")/100)</f>
        <v>#VALUE!</v>
      </c>
      <c r="AG165" s="42" t="e" cm="1">
        <f t="array" ref="AG165">IF(OR(_xll.BDP($AR165,"FD138")="#N/A N/A",_xll.BDP($AR165,"FD138")="#N/A FIELD NOT APPLICABLE")," ", _xll.BDP($AR165,"FD138")/100)</f>
        <v>#VALUE!</v>
      </c>
      <c r="AH165" s="68" t="e" cm="1">
        <f t="array" ref="AH165">IF(OR(_xll.BDP($AR165,"FD009")="#N/A N/A",_xll.BDP($AR165,"FD009")="#N/A FIELD NOT APPLICABLE")," ", _xll.BDP($AR165,"FD009")/100)</f>
        <v>#VALUE!</v>
      </c>
      <c r="AI165" s="42" t="e" cm="1">
        <f t="array" ref="AI165">IF(OR(_xll.BDP($AR165,"RK512")="#N/A N/A",_xll.BDP($AR165,"RK512")="#N/A FIELD NOT APPLICABLE")," ", _xll.BDP($AR165,"RK512")/100)</f>
        <v>#VALUE!</v>
      </c>
      <c r="AJ165" s="42" t="e" cm="1">
        <f t="array" ref="AJ165">IF(OR(_xll.BDP($AR165,"RK514")="#N/A N/A",_xll.BDP($AR165,"RK514")="#N/A FIELD NOT APPLICABLE")," ", _xll.BDP($AR165,"RK514")/100)</f>
        <v>#VALUE!</v>
      </c>
      <c r="AK165" s="42" t="e" cm="1">
        <f t="array" ref="AK165">IF(OR(_xll.BDP($AR165,"RK521")="#N/A N/A",_xll.BDP($AR165,"RK521")="#N/A FIELD NOT APPLICABLE")," ", _xll.BDP($AR165,"RK521")/100)</f>
        <v>#VALUE!</v>
      </c>
      <c r="AL165" s="42" t="e" cm="1">
        <f t="array" ref="AL165">IF(OR(_xll.BDP($AR165,"RK525")="#N/A N/A",_xll.BDP($AR165,"RK525")="#N/A FIELD NOT APPLICABLE")," ", _xll.BDP($AR165,"RK525")/100)</f>
        <v>#VALUE!</v>
      </c>
      <c r="AM165" s="42" t="e" cm="1">
        <f t="array" ref="AM165">IF(OR(_xll.BDP($AR165,"RK524")="#N/A N/A",_xll.BDP($AR165,"RK524")="#N/A FIELD NOT APPLICABLE")," ", _xll.BDP($AR165,"RK524")/100)</f>
        <v>#VALUE!</v>
      </c>
      <c r="AN165" s="42" t="str" cm="1">
        <f t="array" ref="AN165">IF(OR(_xll.BDP($AR165,"FD183")="#N/A N/A",_xll.BDP($AR165,"FD183")="#N/A FIELD NOT APPLICABLE")," ", _xll.BDP($AR165,"FD183"))</f>
        <v>#N/A Connection</v>
      </c>
      <c r="AO165" s="42" t="str" cm="1">
        <f t="array" ref="AO165">IF(OR(_xll.BDP($AR165,"DY997")="#N/A N/A",_xll.BDP($AR165,"DY997")="#N/A FIELD NOT APPLICABLE")," ", _xll.BDP($AR165,"DY997"))</f>
        <v>#N/A Connection</v>
      </c>
      <c r="AP165" s="42" t="str" cm="1">
        <f t="array" ref="AP165">IF(OR(_xll.BDP($AR165,"DY784")="#N/A N/A",_xll.BDP($AR165,"DY784")="#N/A FIELD NOT APPLICABLE")," ", _xll.BDP($AR165,"DY784"))</f>
        <v>#N/A Connection</v>
      </c>
      <c r="AQ165" s="8" t="str">
        <f t="shared" si="49"/>
        <v>N</v>
      </c>
      <c r="AR165" s="8" t="str">
        <f t="shared" si="47"/>
        <v>SIL UN Equity</v>
      </c>
      <c r="AW165" s="282" t="str" cm="1">
        <f t="array" ref="AW165">_xll.BDP(AR165,"ID005")</f>
        <v>#N/A Connection</v>
      </c>
      <c r="AX165" s="121">
        <v>0.65</v>
      </c>
      <c r="AY165" s="119">
        <v>5</v>
      </c>
      <c r="AZ165" s="137">
        <v>45434</v>
      </c>
      <c r="BA165" s="118">
        <v>1.0000000000107532</v>
      </c>
    </row>
    <row r="166" spans="1:53" ht="14.45" customHeight="1" x14ac:dyDescent="0.25">
      <c r="A166" s="8" t="str">
        <f>_xll.BDP(AR166,"SECURITY NAME")</f>
        <v>#N/A Connection</v>
      </c>
      <c r="B166" s="8" t="str">
        <f>_xll.BDP(AR166,"CRNCY")</f>
        <v>#N/A Connection</v>
      </c>
      <c r="C166" s="119" t="s">
        <v>323</v>
      </c>
      <c r="D166" s="8" t="str" cm="1">
        <f t="array" ref="D166">IF(OR(_xll.BDP($AR166,"FD120")="#N/A N/A",_xll.BDP($AR166,"FD120")="#N/A FIELD NOT APPLICABLE")," ",_xll.BDP($AR166,"FD120"))</f>
        <v>#N/A Connection</v>
      </c>
      <c r="E166" s="8" t="str" cm="1">
        <f t="array" ref="E166">IF(OR(_xll.BDP($AR166,"FD116")="#N/A N/A",_xll.BDP($AR166,"FD116")="#N/A FIELD NOT APPLICABLE")," ",_xll.BDP($AR166,"FD116"))</f>
        <v>#N/A Connection</v>
      </c>
      <c r="F166" s="8" t="str" cm="1">
        <f t="array" ref="F166">IF(OR(_xll.BDP($AR166,"FD133")="#N/A N/A",_xll.BDP($AR166,"FD133")="#N/A FIELD NOT APPLICABLE")," ", _xll.BDP($AR166,"FD133"))</f>
        <v>#N/A Connection</v>
      </c>
      <c r="G166" s="11" t="e">
        <f>_xll.BDP(AR166,"FUND_ASSETS_USD")/1000</f>
        <v>#VALUE!</v>
      </c>
      <c r="H166" s="42">
        <f>IFERROR(_xll.BDP(AR166, "DV013")/100,0)</f>
        <v>0</v>
      </c>
      <c r="I166" s="42" t="e" cm="1">
        <f t="array" ref="I166">IF(OR(_xll.BDP($AR166,"PR079")="#N/A N/A",_xll.BDP($AR166,"PR079")="#N/A FIELD NOT APPLICABLE")," ", _xll.BDP($AR166,"PR079")/100)</f>
        <v>#VALUE!</v>
      </c>
      <c r="J166" s="42" t="e" cm="1">
        <f t="array" ref="J166">IF(OR(_xll.BDP($AR166,"RT074")="#N/A N/A",_xll.BDP($AR166,"RT074")="#N/A FIELD NOT APPLICABLE")," ", _xll.BDP($AR166,"RT074")/100)</f>
        <v>#VALUE!</v>
      </c>
      <c r="K166" s="116">
        <v>6539</v>
      </c>
      <c r="L166" s="117">
        <v>8.3520000000000003</v>
      </c>
      <c r="M166" s="8" t="str" cm="1">
        <f t="array" ref="M166">IF(OR(_xll.BDP($AR166,"PX_last")="#N/A N/A",_xll.BDP($AR166,"PX_Last")="#N/A FIELD NOT APPLICABLE")," ",IF(B166="GBP",(_xll.BDP($AR166,"PX_LAST")/100),(_xll.BDP($AR166,"PX_LAST"))))</f>
        <v>#N/A Connection</v>
      </c>
      <c r="N166" s="10" t="e">
        <f>IF(B166="USD",U166,(((_xll.BDP(B166&amp;"USD CURNCY","PX_LAST")))*U166))</f>
        <v>#VALUE!</v>
      </c>
      <c r="O166" s="10" t="e">
        <f>IF(B166="USD",V166,(((_xll.BDP(B166&amp;"USD CURNCY","PX_LAST")))*V166))</f>
        <v>#VALUE!</v>
      </c>
      <c r="P166" s="146" t="e">
        <f t="shared" si="48"/>
        <v>#VALUE!</v>
      </c>
      <c r="Q166" s="237" t="e">
        <f t="shared" si="40"/>
        <v>#VALUE!</v>
      </c>
      <c r="R166" s="237" t="e">
        <f t="shared" si="41"/>
        <v>#VALUE!</v>
      </c>
      <c r="S166" s="10">
        <f t="shared" si="42"/>
        <v>0</v>
      </c>
      <c r="T166" s="10" t="e">
        <f t="shared" si="43"/>
        <v>#VALUE!</v>
      </c>
      <c r="U166" s="10">
        <f t="shared" si="44"/>
        <v>54613.728000000003</v>
      </c>
      <c r="V166" s="10">
        <f t="shared" si="45"/>
        <v>0</v>
      </c>
      <c r="W166" s="42" t="str" cm="1">
        <f t="array" ref="W166">IF(OR(_xll.BDP($AR166,"EX028")="#N/A N/A",_xll.BDP($AR166,"EX028")="#N/A FIELD NOT APPLICABLE")," ", _xll.BDP($AR166,"EX028"))</f>
        <v>#N/A Connection</v>
      </c>
      <c r="X166" s="67" t="str" cm="1">
        <f t="array" ref="X166">IF(OR(_xll.BDP($AR166,"FD121")="#N/A N/A",_xll.BDP($AR166,"FD121")="#N/A FIELD NOT APPLICABLE")," ", _xll.BDP($AR166,"FD121"))</f>
        <v>#N/A Connection</v>
      </c>
      <c r="Y166" s="42" t="str" cm="1">
        <f t="array" ref="Y166">IF(OR(_xll.BDP($AR166,"FD118")="#N/A N/A",_xll.BDP($AR166,"FD118")="#N/A FIELD NOT APPLICABLE")," ", _xll.BDP($AR166,"FD118"))</f>
        <v>#N/A Connection</v>
      </c>
      <c r="Z166" s="8" t="str" cm="1">
        <f t="array" ref="Z166">IF(OR(_xll.BDP($AR166,"FD114")="#N/A N/A",_xll.BDP($AR166,"FD114")="#N/A FIELD NOT APPLICABLE")," ", _xll.BDP($AR166,"FD114"))</f>
        <v>#N/A Connection</v>
      </c>
      <c r="AA166" s="8" t="str" cm="1">
        <f t="array" ref="AA166">IF(OR(_xll.BDP($AR166,"FD003")="#N/A N/A",_xll.BDP($AR166,"FD003")="#N/A FIELD NOT APPLICABLE")," ", _xll.BDP($AR166,"FD003"))</f>
        <v>#N/A Connection</v>
      </c>
      <c r="AB166" s="44" t="e" cm="1">
        <f t="array" ref="AB166">IF(OR(_xll.BDP($AR166,"PR061")="#N/A N/A",_xll.BDP($AR166,"PR061")="#N/A FIELD NOT APPLICABLE")," ", _xll.BDP($AR166,"PR061")/100)</f>
        <v>#VALUE!</v>
      </c>
      <c r="AC166" s="42" t="e" cm="1">
        <f t="array" ref="AC166">IF(OR(_xll.BDP($AR166,"RT075")="#N/A N/A",_xll.BDP($AR166,"RT075")="#N/A FIELD NOT APPLICABLE")," ", _xll.BDP($AR166,"RT075")/100)</f>
        <v>#VALUE!</v>
      </c>
      <c r="AD166" s="42" t="e" cm="1">
        <f t="array" ref="AD166">IF(OR(_xll.BDP($AR166,"RT076")="#N/A N/A",_xll.BDP($AR166,"RT076")="#N/A FIELD NOT APPLICABLE")," ", _xll.BDP($AR166,"RT076")/100)</f>
        <v>#VALUE!</v>
      </c>
      <c r="AE166" s="42" t="e" cm="1">
        <f t="array" ref="AE166">IF(OR(_xll.BDP($AR166,"FD252")="#N/A N/A",_xll.BDP($AR166,"FD252")="#N/A FIELD NOT APPLICABLE")," ", _xll.BDP($AR166,"FD252")/100)</f>
        <v>#VALUE!</v>
      </c>
      <c r="AF166" s="42" t="e" cm="1">
        <f t="array" ref="AF166">IF(OR(_xll.BDP($AR166,"FD015")="#N/A N/A",_xll.BDP($AR166,"FD015")="#N/A FIELD NOT APPLICABLE")," ", _xll.BDP($AR166,"FD015")/100)</f>
        <v>#VALUE!</v>
      </c>
      <c r="AG166" s="42" t="e" cm="1">
        <f t="array" ref="AG166">IF(OR(_xll.BDP($AR166,"FD138")="#N/A N/A",_xll.BDP($AR166,"FD138")="#N/A FIELD NOT APPLICABLE")," ", _xll.BDP($AR166,"FD138")/100)</f>
        <v>#VALUE!</v>
      </c>
      <c r="AH166" s="68" t="e" cm="1">
        <f t="array" ref="AH166">IF(OR(_xll.BDP($AR166,"FD009")="#N/A N/A",_xll.BDP($AR166,"FD009")="#N/A FIELD NOT APPLICABLE")," ", _xll.BDP($AR166,"FD009")/100)</f>
        <v>#VALUE!</v>
      </c>
      <c r="AI166" s="42" t="e" cm="1">
        <f t="array" ref="AI166">IF(OR(_xll.BDP($AR166,"RK512")="#N/A N/A",_xll.BDP($AR166,"RK512")="#N/A FIELD NOT APPLICABLE")," ", _xll.BDP($AR166,"RK512")/100)</f>
        <v>#VALUE!</v>
      </c>
      <c r="AJ166" s="42" t="e" cm="1">
        <f t="array" ref="AJ166">IF(OR(_xll.BDP($AR166,"RK514")="#N/A N/A",_xll.BDP($AR166,"RK514")="#N/A FIELD NOT APPLICABLE")," ", _xll.BDP($AR166,"RK514")/100)</f>
        <v>#VALUE!</v>
      </c>
      <c r="AK166" s="42" t="e" cm="1">
        <f t="array" ref="AK166">IF(OR(_xll.BDP($AR166,"RK521")="#N/A N/A",_xll.BDP($AR166,"RK521")="#N/A FIELD NOT APPLICABLE")," ", _xll.BDP($AR166,"RK521")/100)</f>
        <v>#VALUE!</v>
      </c>
      <c r="AL166" s="42" t="e" cm="1">
        <f t="array" ref="AL166">IF(OR(_xll.BDP($AR166,"RK525")="#N/A N/A",_xll.BDP($AR166,"RK525")="#N/A FIELD NOT APPLICABLE")," ", _xll.BDP($AR166,"RK525")/100)</f>
        <v>#VALUE!</v>
      </c>
      <c r="AM166" s="42" t="e" cm="1">
        <f t="array" ref="AM166">IF(OR(_xll.BDP($AR166,"RK524")="#N/A N/A",_xll.BDP($AR166,"RK524")="#N/A FIELD NOT APPLICABLE")," ", _xll.BDP($AR166,"RK524")/100)</f>
        <v>#VALUE!</v>
      </c>
      <c r="AN166" s="42" t="str" cm="1">
        <f t="array" ref="AN166">IF(OR(_xll.BDP($AR166,"FD183")="#N/A N/A",_xll.BDP($AR166,"FD183")="#N/A FIELD NOT APPLICABLE")," ", _xll.BDP($AR166,"FD183"))</f>
        <v>#N/A Connection</v>
      </c>
      <c r="AO166" s="42" t="str" cm="1">
        <f t="array" ref="AO166">IF(OR(_xll.BDP($AR166,"DY997")="#N/A N/A",_xll.BDP($AR166,"DY997")="#N/A FIELD NOT APPLICABLE")," ", _xll.BDP($AR166,"DY997"))</f>
        <v>#N/A Connection</v>
      </c>
      <c r="AP166" s="42" t="str" cm="1">
        <f t="array" ref="AP166">IF(OR(_xll.BDP($AR166,"DY784")="#N/A N/A",_xll.BDP($AR166,"DY784")="#N/A FIELD NOT APPLICABLE")," ", _xll.BDP($AR166,"DY784"))</f>
        <v>#N/A Connection</v>
      </c>
      <c r="AQ166" s="8" t="str">
        <f t="shared" si="49"/>
        <v>N</v>
      </c>
      <c r="AR166" s="8" t="str">
        <f t="shared" si="47"/>
        <v>USA UN  Equity</v>
      </c>
      <c r="AW166" s="282" t="str" cm="1">
        <f t="array" ref="AW166">_xll.BDP(AR166,"ID005")</f>
        <v>#N/A Connection</v>
      </c>
      <c r="AX166" s="121">
        <v>0.65</v>
      </c>
      <c r="AY166" s="119">
        <v>5</v>
      </c>
      <c r="AZ166" s="137">
        <v>44417</v>
      </c>
      <c r="BA166" s="118">
        <v>1.0000000000107532</v>
      </c>
    </row>
    <row r="167" spans="1:53" ht="14.45" customHeight="1" x14ac:dyDescent="0.25">
      <c r="A167" s="8" t="str">
        <f>_xll.BDP(AR167,"SECURITY NAME")</f>
        <v>#N/A Connection</v>
      </c>
      <c r="B167" s="8" t="str">
        <f>_xll.BDP(AR167,"CRNCY")</f>
        <v>#N/A Connection</v>
      </c>
      <c r="C167" s="119" t="s">
        <v>324</v>
      </c>
      <c r="D167" s="8" t="str" cm="1">
        <f t="array" ref="D167">IF(OR(_xll.BDP($AR167,"FD120")="#N/A N/A",_xll.BDP($AR167,"FD120")="#N/A FIELD NOT APPLICABLE")," ",_xll.BDP($AR167,"FD120"))</f>
        <v>#N/A Connection</v>
      </c>
      <c r="E167" s="8" t="str" cm="1">
        <f t="array" ref="E167">IF(OR(_xll.BDP($AR167,"FD116")="#N/A N/A",_xll.BDP($AR167,"FD116")="#N/A FIELD NOT APPLICABLE")," ",_xll.BDP($AR167,"FD116"))</f>
        <v>#N/A Connection</v>
      </c>
      <c r="F167" s="8" t="str" cm="1">
        <f t="array" ref="F167">IF(OR(_xll.BDP($AR167,"FD133")="#N/A N/A",_xll.BDP($AR167,"FD133")="#N/A FIELD NOT APPLICABLE")," ", _xll.BDP($AR167,"FD133"))</f>
        <v>#N/A Connection</v>
      </c>
      <c r="G167" s="11" t="e">
        <f>_xll.BDP(AR167,"FUND_ASSETS_USD")/1000</f>
        <v>#VALUE!</v>
      </c>
      <c r="H167" s="42">
        <f>IFERROR(_xll.BDP(AR167, "DV013")/100,0)</f>
        <v>0</v>
      </c>
      <c r="I167" s="42" t="e" cm="1">
        <f t="array" ref="I167">IF(OR(_xll.BDP($AR167,"PR079")="#N/A N/A",_xll.BDP($AR167,"PR079")="#N/A FIELD NOT APPLICABLE")," ", _xll.BDP($AR167,"PR079")/100)</f>
        <v>#VALUE!</v>
      </c>
      <c r="J167" s="42" t="e" cm="1">
        <f t="array" ref="J167">IF(OR(_xll.BDP($AR167,"RT074")="#N/A N/A",_xll.BDP($AR167,"RT074")="#N/A FIELD NOT APPLICABLE")," ", _xll.BDP($AR167,"RT074")/100)</f>
        <v>#VALUE!</v>
      </c>
      <c r="K167" s="116">
        <v>4850</v>
      </c>
      <c r="L167" s="117">
        <v>10.29</v>
      </c>
      <c r="M167" s="8" t="str" cm="1">
        <f t="array" ref="M167">IF(OR(_xll.BDP($AR167,"PX_last")="#N/A N/A",_xll.BDP($AR167,"PX_Last")="#N/A FIELD NOT APPLICABLE")," ",IF(B167="GBP",(_xll.BDP($AR167,"PX_LAST")/100),(_xll.BDP($AR167,"PX_LAST"))))</f>
        <v>#N/A Connection</v>
      </c>
      <c r="N167" s="10" t="e">
        <f>IF(B167="USD",U167,(((_xll.BDP(B167&amp;"USD CURNCY","PX_LAST")))*U167))</f>
        <v>#VALUE!</v>
      </c>
      <c r="O167" s="10" t="e">
        <f>IF(B167="USD",V167,(((_xll.BDP(B167&amp;"USD CURNCY","PX_LAST")))*V167))</f>
        <v>#VALUE!</v>
      </c>
      <c r="P167" s="146" t="e">
        <f t="shared" ref="P167:P168" si="50">O167-N167</f>
        <v>#VALUE!</v>
      </c>
      <c r="Q167" s="237" t="e">
        <f t="shared" si="40"/>
        <v>#VALUE!</v>
      </c>
      <c r="R167" s="237" t="e">
        <f t="shared" si="41"/>
        <v>#VALUE!</v>
      </c>
      <c r="S167" s="10">
        <f t="shared" si="42"/>
        <v>0</v>
      </c>
      <c r="T167" s="10" t="e">
        <f t="shared" si="43"/>
        <v>#VALUE!</v>
      </c>
      <c r="U167" s="10">
        <f t="shared" si="44"/>
        <v>49906.499999999993</v>
      </c>
      <c r="V167" s="10">
        <f t="shared" si="45"/>
        <v>0</v>
      </c>
      <c r="W167" s="42" t="str" cm="1">
        <f t="array" ref="W167">IF(OR(_xll.BDP($AR167,"EX028")="#N/A N/A",_xll.BDP($AR167,"EX028")="#N/A FIELD NOT APPLICABLE")," ", _xll.BDP($AR167,"EX028"))</f>
        <v>#N/A Connection</v>
      </c>
      <c r="X167" s="67" t="str" cm="1">
        <f t="array" ref="X167">IF(OR(_xll.BDP($AR167,"FD121")="#N/A N/A",_xll.BDP($AR167,"FD121")="#N/A FIELD NOT APPLICABLE")," ", _xll.BDP($AR167,"FD121"))</f>
        <v>#N/A Connection</v>
      </c>
      <c r="Y167" s="42" t="str" cm="1">
        <f t="array" ref="Y167">IF(OR(_xll.BDP($AR167,"FD118")="#N/A N/A",_xll.BDP($AR167,"FD118")="#N/A FIELD NOT APPLICABLE")," ", _xll.BDP($AR167,"FD118"))</f>
        <v>#N/A Connection</v>
      </c>
      <c r="Z167" s="8" t="str" cm="1">
        <f t="array" ref="Z167">IF(OR(_xll.BDP($AR167,"FD114")="#N/A N/A",_xll.BDP($AR167,"FD114")="#N/A FIELD NOT APPLICABLE")," ", _xll.BDP($AR167,"FD114"))</f>
        <v>#N/A Connection</v>
      </c>
      <c r="AA167" s="8" t="str" cm="1">
        <f t="array" ref="AA167">IF(OR(_xll.BDP($AR167,"FD003")="#N/A N/A",_xll.BDP($AR167,"FD003")="#N/A FIELD NOT APPLICABLE")," ", _xll.BDP($AR167,"FD003"))</f>
        <v>#N/A Connection</v>
      </c>
      <c r="AB167" s="44" t="e" cm="1">
        <f t="array" ref="AB167">IF(OR(_xll.BDP($AR167,"PR061")="#N/A N/A",_xll.BDP($AR167,"PR061")="#N/A FIELD NOT APPLICABLE")," ", _xll.BDP($AR167,"PR061")/100)</f>
        <v>#VALUE!</v>
      </c>
      <c r="AC167" s="42" t="e" cm="1">
        <f t="array" ref="AC167">IF(OR(_xll.BDP($AR167,"RT075")="#N/A N/A",_xll.BDP($AR167,"RT075")="#N/A FIELD NOT APPLICABLE")," ", _xll.BDP($AR167,"RT075")/100)</f>
        <v>#VALUE!</v>
      </c>
      <c r="AD167" s="42" t="e" cm="1">
        <f t="array" ref="AD167">IF(OR(_xll.BDP($AR167,"RT076")="#N/A N/A",_xll.BDP($AR167,"RT076")="#N/A FIELD NOT APPLICABLE")," ", _xll.BDP($AR167,"RT076")/100)</f>
        <v>#VALUE!</v>
      </c>
      <c r="AE167" s="42" t="e" cm="1">
        <f t="array" ref="AE167">IF(OR(_xll.BDP($AR167,"FD252")="#N/A N/A",_xll.BDP($AR167,"FD252")="#N/A FIELD NOT APPLICABLE")," ", _xll.BDP($AR167,"FD252")/100)</f>
        <v>#VALUE!</v>
      </c>
      <c r="AF167" s="42" t="e" cm="1">
        <f t="array" ref="AF167">IF(OR(_xll.BDP($AR167,"FD015")="#N/A N/A",_xll.BDP($AR167,"FD015")="#N/A FIELD NOT APPLICABLE")," ", _xll.BDP($AR167,"FD015")/100)</f>
        <v>#VALUE!</v>
      </c>
      <c r="AG167" s="42" t="e" cm="1">
        <f t="array" ref="AG167">IF(OR(_xll.BDP($AR167,"FD138")="#N/A N/A",_xll.BDP($AR167,"FD138")="#N/A FIELD NOT APPLICABLE")," ", _xll.BDP($AR167,"FD138")/100)</f>
        <v>#VALUE!</v>
      </c>
      <c r="AH167" s="68" t="e" cm="1">
        <f t="array" ref="AH167">IF(OR(_xll.BDP($AR167,"FD009")="#N/A N/A",_xll.BDP($AR167,"FD009")="#N/A FIELD NOT APPLICABLE")," ", _xll.BDP($AR167,"FD009")/100)</f>
        <v>#VALUE!</v>
      </c>
      <c r="AI167" s="42" t="e" cm="1">
        <f t="array" ref="AI167">IF(OR(_xll.BDP($AR167,"RK512")="#N/A N/A",_xll.BDP($AR167,"RK512")="#N/A FIELD NOT APPLICABLE")," ", _xll.BDP($AR167,"RK512")/100)</f>
        <v>#VALUE!</v>
      </c>
      <c r="AJ167" s="42" t="e" cm="1">
        <f t="array" ref="AJ167">IF(OR(_xll.BDP($AR167,"RK514")="#N/A N/A",_xll.BDP($AR167,"RK514")="#N/A FIELD NOT APPLICABLE")," ", _xll.BDP($AR167,"RK514")/100)</f>
        <v>#VALUE!</v>
      </c>
      <c r="AK167" s="42" t="e" cm="1">
        <f t="array" ref="AK167">IF(OR(_xll.BDP($AR167,"RK521")="#N/A N/A",_xll.BDP($AR167,"RK521")="#N/A FIELD NOT APPLICABLE")," ", _xll.BDP($AR167,"RK521")/100)</f>
        <v>#VALUE!</v>
      </c>
      <c r="AL167" s="42" t="e" cm="1">
        <f t="array" ref="AL167">IF(OR(_xll.BDP($AR167,"RK525")="#N/A N/A",_xll.BDP($AR167,"RK525")="#N/A FIELD NOT APPLICABLE")," ", _xll.BDP($AR167,"RK525")/100)</f>
        <v>#VALUE!</v>
      </c>
      <c r="AM167" s="42" t="e" cm="1">
        <f t="array" ref="AM167">IF(OR(_xll.BDP($AR167,"RK524")="#N/A N/A",_xll.BDP($AR167,"RK524")="#N/A FIELD NOT APPLICABLE")," ", _xll.BDP($AR167,"RK524")/100)</f>
        <v>#VALUE!</v>
      </c>
      <c r="AN167" s="42" t="str" cm="1">
        <f t="array" ref="AN167">IF(OR(_xll.BDP($AR167,"FD183")="#N/A N/A",_xll.BDP($AR167,"FD183")="#N/A FIELD NOT APPLICABLE")," ", _xll.BDP($AR167,"FD183"))</f>
        <v>#N/A Connection</v>
      </c>
      <c r="AO167" s="42" t="str" cm="1">
        <f t="array" ref="AO167">IF(OR(_xll.BDP($AR167,"DY997")="#N/A N/A",_xll.BDP($AR167,"DY997")="#N/A FIELD NOT APPLICABLE")," ", _xll.BDP($AR167,"DY997"))</f>
        <v>#N/A Connection</v>
      </c>
      <c r="AP167" s="42" t="str" cm="1">
        <f t="array" ref="AP167">IF(OR(_xll.BDP($AR167,"DY784")="#N/A N/A",_xll.BDP($AR167,"DY784")="#N/A FIELD NOT APPLICABLE")," ", _xll.BDP($AR167,"DY784"))</f>
        <v>#N/A Connection</v>
      </c>
      <c r="AQ167" s="8" t="str">
        <f t="shared" ref="AQ167:AQ168" si="51">IF(OR(AO167="Y",AP167="Y"),"Y","N")</f>
        <v>N</v>
      </c>
      <c r="AR167" s="8" t="str">
        <f t="shared" si="47"/>
        <v>LU0820561818 Equity</v>
      </c>
      <c r="AW167" s="282" t="str" cm="1">
        <f t="array" ref="AW167">_xll.BDP(AR167,"ID005")</f>
        <v>#N/A Connection</v>
      </c>
      <c r="AX167" s="121">
        <v>0.65</v>
      </c>
      <c r="AY167" s="119">
        <v>5</v>
      </c>
      <c r="AZ167" s="137">
        <v>44418</v>
      </c>
      <c r="BA167" s="118">
        <v>1.0000000000107532</v>
      </c>
    </row>
    <row r="168" spans="1:53" ht="14.45" customHeight="1" x14ac:dyDescent="0.25">
      <c r="A168" s="8" t="str">
        <f>_xll.BDP(AR168,"SECURITY NAME")</f>
        <v>#N/A Connection</v>
      </c>
      <c r="B168" s="8" t="str">
        <f>_xll.BDP(AR168,"CRNCY")</f>
        <v>#N/A Connection</v>
      </c>
      <c r="C168" s="119" t="s">
        <v>325</v>
      </c>
      <c r="D168" s="8" t="str" cm="1">
        <f t="array" ref="D168">IF(OR(_xll.BDP($AR168,"FD120")="#N/A N/A",_xll.BDP($AR168,"FD120")="#N/A FIELD NOT APPLICABLE")," ",_xll.BDP($AR168,"FD120"))</f>
        <v>#N/A Connection</v>
      </c>
      <c r="E168" s="8" t="str" cm="1">
        <f t="array" ref="E168">IF(OR(_xll.BDP($AR168,"FD116")="#N/A N/A",_xll.BDP($AR168,"FD116")="#N/A FIELD NOT APPLICABLE")," ",_xll.BDP($AR168,"FD116"))</f>
        <v>#N/A Connection</v>
      </c>
      <c r="F168" s="8" t="str" cm="1">
        <f t="array" ref="F168">IF(OR(_xll.BDP($AR168,"FD133")="#N/A N/A",_xll.BDP($AR168,"FD133")="#N/A FIELD NOT APPLICABLE")," ", _xll.BDP($AR168,"FD133"))</f>
        <v>#N/A Connection</v>
      </c>
      <c r="G168" s="11" t="e">
        <f>_xll.BDP(AR168,"FUND_ASSETS_USD")/1000</f>
        <v>#VALUE!</v>
      </c>
      <c r="H168" s="42">
        <f>IFERROR(_xll.BDP(AR168, "DV013")/100,0)</f>
        <v>0</v>
      </c>
      <c r="I168" s="42" t="e" cm="1">
        <f t="array" ref="I168">IF(OR(_xll.BDP($AR168,"PR079")="#N/A N/A",_xll.BDP($AR168,"PR079")="#N/A FIELD NOT APPLICABLE")," ", _xll.BDP($AR168,"PR079")/100)</f>
        <v>#VALUE!</v>
      </c>
      <c r="J168" s="42" t="e" cm="1">
        <f t="array" ref="J168">IF(OR(_xll.BDP($AR168,"RT074")="#N/A N/A",_xll.BDP($AR168,"RT074")="#N/A FIELD NOT APPLICABLE")," ", _xll.BDP($AR168,"RT074")/100)</f>
        <v>#VALUE!</v>
      </c>
      <c r="K168" s="116">
        <v>189.6</v>
      </c>
      <c r="L168" s="117">
        <v>184.59</v>
      </c>
      <c r="M168" s="8" t="str" cm="1">
        <f t="array" ref="M168">IF(OR(_xll.BDP($AR168,"PX_last")="#N/A N/A",_xll.BDP($AR168,"PX_Last")="#N/A FIELD NOT APPLICABLE")," ",IF(B168="GBP",(_xll.BDP($AR168,"PX_LAST")/100),(_xll.BDP($AR168,"PX_LAST"))))</f>
        <v>#N/A Connection</v>
      </c>
      <c r="N168" s="10" t="e">
        <f>IF(B168="USD",U168,(((_xll.BDP(B168&amp;"USD CURNCY","PX_LAST")))*U168))</f>
        <v>#VALUE!</v>
      </c>
      <c r="O168" s="10" t="e">
        <f>IF(B168="USD",V168,(((_xll.BDP(B168&amp;"USD CURNCY","PX_LAST")))*V168))</f>
        <v>#VALUE!</v>
      </c>
      <c r="P168" s="146" t="e">
        <f t="shared" si="50"/>
        <v>#VALUE!</v>
      </c>
      <c r="Q168" s="237" t="e">
        <f t="shared" si="40"/>
        <v>#VALUE!</v>
      </c>
      <c r="R168" s="237" t="e">
        <f t="shared" si="41"/>
        <v>#VALUE!</v>
      </c>
      <c r="S168" s="10">
        <f t="shared" si="42"/>
        <v>0</v>
      </c>
      <c r="T168" s="10" t="e">
        <f t="shared" si="43"/>
        <v>#VALUE!</v>
      </c>
      <c r="U168" s="10">
        <f t="shared" si="44"/>
        <v>34998.264000000003</v>
      </c>
      <c r="V168" s="10">
        <f t="shared" si="45"/>
        <v>0</v>
      </c>
      <c r="W168" s="42" t="str" cm="1">
        <f t="array" ref="W168">IF(OR(_xll.BDP($AR168,"EX028")="#N/A N/A",_xll.BDP($AR168,"EX028")="#N/A FIELD NOT APPLICABLE")," ", _xll.BDP($AR168,"EX028"))</f>
        <v>#N/A Connection</v>
      </c>
      <c r="X168" s="67" t="str" cm="1">
        <f t="array" ref="X168">IF(OR(_xll.BDP($AR168,"FD121")="#N/A N/A",_xll.BDP($AR168,"FD121")="#N/A FIELD NOT APPLICABLE")," ", _xll.BDP($AR168,"FD121"))</f>
        <v>#N/A Connection</v>
      </c>
      <c r="Y168" s="42" t="str" cm="1">
        <f t="array" ref="Y168">IF(OR(_xll.BDP($AR168,"FD118")="#N/A N/A",_xll.BDP($AR168,"FD118")="#N/A FIELD NOT APPLICABLE")," ", _xll.BDP($AR168,"FD118"))</f>
        <v>#N/A Connection</v>
      </c>
      <c r="Z168" s="8" t="str" cm="1">
        <f t="array" ref="Z168">IF(OR(_xll.BDP($AR168,"FD114")="#N/A N/A",_xll.BDP($AR168,"FD114")="#N/A FIELD NOT APPLICABLE")," ", _xll.BDP($AR168,"FD114"))</f>
        <v>#N/A Connection</v>
      </c>
      <c r="AA168" s="8" t="str" cm="1">
        <f t="array" ref="AA168">IF(OR(_xll.BDP($AR168,"FD003")="#N/A N/A",_xll.BDP($AR168,"FD003")="#N/A FIELD NOT APPLICABLE")," ", _xll.BDP($AR168,"FD003"))</f>
        <v>#N/A Connection</v>
      </c>
      <c r="AB168" s="44" t="e" cm="1">
        <f t="array" ref="AB168">IF(OR(_xll.BDP($AR168,"PR061")="#N/A N/A",_xll.BDP($AR168,"PR061")="#N/A FIELD NOT APPLICABLE")," ", _xll.BDP($AR168,"PR061")/100)</f>
        <v>#VALUE!</v>
      </c>
      <c r="AC168" s="42" t="e" cm="1">
        <f t="array" ref="AC168">IF(OR(_xll.BDP($AR168,"RT075")="#N/A N/A",_xll.BDP($AR168,"RT075")="#N/A FIELD NOT APPLICABLE")," ", _xll.BDP($AR168,"RT075")/100)</f>
        <v>#VALUE!</v>
      </c>
      <c r="AD168" s="42" t="e" cm="1">
        <f t="array" ref="AD168">IF(OR(_xll.BDP($AR168,"RT076")="#N/A N/A",_xll.BDP($AR168,"RT076")="#N/A FIELD NOT APPLICABLE")," ", _xll.BDP($AR168,"RT076")/100)</f>
        <v>#VALUE!</v>
      </c>
      <c r="AE168" s="42" t="e" cm="1">
        <f t="array" ref="AE168">IF(OR(_xll.BDP($AR168,"FD252")="#N/A N/A",_xll.BDP($AR168,"FD252")="#N/A FIELD NOT APPLICABLE")," ", _xll.BDP($AR168,"FD252")/100)</f>
        <v>#VALUE!</v>
      </c>
      <c r="AF168" s="42" t="e" cm="1">
        <f t="array" ref="AF168">IF(OR(_xll.BDP($AR168,"FD015")="#N/A N/A",_xll.BDP($AR168,"FD015")="#N/A FIELD NOT APPLICABLE")," ", _xll.BDP($AR168,"FD015")/100)</f>
        <v>#VALUE!</v>
      </c>
      <c r="AG168" s="42" t="e" cm="1">
        <f t="array" ref="AG168">IF(OR(_xll.BDP($AR168,"FD138")="#N/A N/A",_xll.BDP($AR168,"FD138")="#N/A FIELD NOT APPLICABLE")," ", _xll.BDP($AR168,"FD138")/100)</f>
        <v>#VALUE!</v>
      </c>
      <c r="AH168" s="68" t="e" cm="1">
        <f t="array" ref="AH168">IF(OR(_xll.BDP($AR168,"FD009")="#N/A N/A",_xll.BDP($AR168,"FD009")="#N/A FIELD NOT APPLICABLE")," ", _xll.BDP($AR168,"FD009")/100)</f>
        <v>#VALUE!</v>
      </c>
      <c r="AI168" s="42" t="e" cm="1">
        <f t="array" ref="AI168">IF(OR(_xll.BDP($AR168,"RK512")="#N/A N/A",_xll.BDP($AR168,"RK512")="#N/A FIELD NOT APPLICABLE")," ", _xll.BDP($AR168,"RK512")/100)</f>
        <v>#VALUE!</v>
      </c>
      <c r="AJ168" s="42" t="e" cm="1">
        <f t="array" ref="AJ168">IF(OR(_xll.BDP($AR168,"RK514")="#N/A N/A",_xll.BDP($AR168,"RK514")="#N/A FIELD NOT APPLICABLE")," ", _xll.BDP($AR168,"RK514")/100)</f>
        <v>#VALUE!</v>
      </c>
      <c r="AK168" s="42" t="e" cm="1">
        <f t="array" ref="AK168">IF(OR(_xll.BDP($AR168,"RK521")="#N/A N/A",_xll.BDP($AR168,"RK521")="#N/A FIELD NOT APPLICABLE")," ", _xll.BDP($AR168,"RK521")/100)</f>
        <v>#VALUE!</v>
      </c>
      <c r="AL168" s="42" t="e" cm="1">
        <f t="array" ref="AL168">IF(OR(_xll.BDP($AR168,"RK525")="#N/A N/A",_xll.BDP($AR168,"RK525")="#N/A FIELD NOT APPLICABLE")," ", _xll.BDP($AR168,"RK525")/100)</f>
        <v>#VALUE!</v>
      </c>
      <c r="AM168" s="42" t="e" cm="1">
        <f t="array" ref="AM168">IF(OR(_xll.BDP($AR168,"RK524")="#N/A N/A",_xll.BDP($AR168,"RK524")="#N/A FIELD NOT APPLICABLE")," ", _xll.BDP($AR168,"RK524")/100)</f>
        <v>#VALUE!</v>
      </c>
      <c r="AN168" s="42" t="str" cm="1">
        <f t="array" ref="AN168">IF(OR(_xll.BDP($AR168,"FD183")="#N/A N/A",_xll.BDP($AR168,"FD183")="#N/A FIELD NOT APPLICABLE")," ", _xll.BDP($AR168,"FD183"))</f>
        <v>#N/A Connection</v>
      </c>
      <c r="AO168" s="42" t="str" cm="1">
        <f t="array" ref="AO168">IF(OR(_xll.BDP($AR168,"DY997")="#N/A N/A",_xll.BDP($AR168,"DY997")="#N/A FIELD NOT APPLICABLE")," ", _xll.BDP($AR168,"DY997"))</f>
        <v>#N/A Connection</v>
      </c>
      <c r="AP168" s="42" t="str" cm="1">
        <f t="array" ref="AP168">IF(OR(_xll.BDP($AR168,"DY784")="#N/A N/A",_xll.BDP($AR168,"DY784")="#N/A FIELD NOT APPLICABLE")," ", _xll.BDP($AR168,"DY784"))</f>
        <v>#N/A Connection</v>
      </c>
      <c r="AQ168" s="8" t="str">
        <f t="shared" si="51"/>
        <v>N</v>
      </c>
      <c r="AR168" s="8" t="str">
        <f t="shared" si="47"/>
        <v>LU1298145357 Equity</v>
      </c>
      <c r="AW168" s="282" t="str" cm="1">
        <f t="array" ref="AW168">_xll.BDP(AR168,"ID005")</f>
        <v>#N/A Connection</v>
      </c>
      <c r="AX168" s="121">
        <v>0.65</v>
      </c>
      <c r="AY168" s="119">
        <v>5</v>
      </c>
      <c r="AZ168" s="137">
        <v>44483</v>
      </c>
      <c r="BA168" s="118">
        <v>1.0000000000107532</v>
      </c>
    </row>
    <row r="169" spans="1:53" ht="14.45" customHeight="1" x14ac:dyDescent="0.25">
      <c r="A169" s="8" t="str">
        <f>_xll.BDP(AR169,"SECURITY NAME")</f>
        <v>#N/A Connection</v>
      </c>
      <c r="B169" s="8" t="str">
        <f>_xll.BDP(AR169,"CRNCY")</f>
        <v>#N/A Connection</v>
      </c>
      <c r="C169" s="119" t="s">
        <v>326</v>
      </c>
      <c r="D169" s="8" t="str" cm="1">
        <f t="array" ref="D169">IF(OR(_xll.BDP($AR169,"FD120")="#N/A N/A",_xll.BDP($AR169,"FD120")="#N/A FIELD NOT APPLICABLE")," ",_xll.BDP($AR169,"FD120"))</f>
        <v>#N/A Connection</v>
      </c>
      <c r="E169" s="8" t="str" cm="1">
        <f t="array" ref="E169">IF(OR(_xll.BDP($AR169,"FD116")="#N/A N/A",_xll.BDP($AR169,"FD116")="#N/A FIELD NOT APPLICABLE")," ",_xll.BDP($AR169,"FD116"))</f>
        <v>#N/A Connection</v>
      </c>
      <c r="F169" s="8" t="str" cm="1">
        <f t="array" ref="F169">IF(OR(_xll.BDP($AR169,"FD133")="#N/A N/A",_xll.BDP($AR169,"FD133")="#N/A FIELD NOT APPLICABLE")," ", _xll.BDP($AR169,"FD133"))</f>
        <v>#N/A Connection</v>
      </c>
      <c r="G169" s="11" t="e">
        <f>_xll.BDP(AR169,"FUND_ASSETS_USD")/1000</f>
        <v>#VALUE!</v>
      </c>
      <c r="H169" s="42">
        <f>IFERROR(_xll.BDP(AR169, "DV013")/100,0)</f>
        <v>0</v>
      </c>
      <c r="I169" s="42" t="e" cm="1">
        <f t="array" ref="I169">IF(OR(_xll.BDP($AR169,"PR079")="#N/A N/A",_xll.BDP($AR169,"PR079")="#N/A FIELD NOT APPLICABLE")," ", _xll.BDP($AR169,"PR079")/100)</f>
        <v>#VALUE!</v>
      </c>
      <c r="J169" s="42" t="e" cm="1">
        <f t="array" ref="J169">IF(OR(_xll.BDP($AR169,"RT074")="#N/A N/A",_xll.BDP($AR169,"RT074")="#N/A FIELD NOT APPLICABLE")," ", _xll.BDP($AR169,"RT074")/100)</f>
        <v>#VALUE!</v>
      </c>
      <c r="K169" s="116">
        <v>1614.5930000000001</v>
      </c>
      <c r="L169" s="117">
        <v>21.677299999999999</v>
      </c>
      <c r="M169" s="8" t="str" cm="1">
        <f t="array" ref="M169">IF(OR(_xll.BDP($AR169,"PX_last")="#N/A N/A",_xll.BDP($AR169,"PX_Last")="#N/A FIELD NOT APPLICABLE")," ",IF(B169="GBP",(_xll.BDP($AR169,"PX_LAST")/100),(_xll.BDP($AR169,"PX_LAST"))))</f>
        <v>#N/A Connection</v>
      </c>
      <c r="N169" s="10" t="e">
        <f>IF(B169="USD",U169,(((_xll.BDP(B169&amp;"USD CURNCY","PX_LAST")))*U169))</f>
        <v>#VALUE!</v>
      </c>
      <c r="O169" s="10" t="e">
        <f>IF(B169="USD",V169,(((_xll.BDP(B169&amp;"USD CURNCY","PX_LAST")))*V169))</f>
        <v>#VALUE!</v>
      </c>
      <c r="P169" s="146" t="e">
        <f t="shared" si="48"/>
        <v>#VALUE!</v>
      </c>
      <c r="Q169" s="237" t="e">
        <f t="shared" si="40"/>
        <v>#VALUE!</v>
      </c>
      <c r="R169" s="237" t="e">
        <f t="shared" si="41"/>
        <v>#VALUE!</v>
      </c>
      <c r="S169" s="10">
        <f t="shared" si="42"/>
        <v>0</v>
      </c>
      <c r="T169" s="10" t="e">
        <f t="shared" si="43"/>
        <v>#VALUE!</v>
      </c>
      <c r="U169" s="10">
        <f t="shared" si="44"/>
        <v>35000.016838900003</v>
      </c>
      <c r="V169" s="10">
        <f t="shared" si="45"/>
        <v>0</v>
      </c>
      <c r="W169" s="42" t="str" cm="1">
        <f t="array" ref="W169">IF(OR(_xll.BDP($AR169,"EX028")="#N/A N/A",_xll.BDP($AR169,"EX028")="#N/A FIELD NOT APPLICABLE")," ", _xll.BDP($AR169,"EX028"))</f>
        <v>#N/A Connection</v>
      </c>
      <c r="X169" s="67" t="str" cm="1">
        <f t="array" ref="X169">IF(OR(_xll.BDP($AR169,"FD121")="#N/A N/A",_xll.BDP($AR169,"FD121")="#N/A FIELD NOT APPLICABLE")," ", _xll.BDP($AR169,"FD121"))</f>
        <v>#N/A Connection</v>
      </c>
      <c r="Y169" s="42" t="str" cm="1">
        <f t="array" ref="Y169">IF(OR(_xll.BDP($AR169,"FD118")="#N/A N/A",_xll.BDP($AR169,"FD118")="#N/A FIELD NOT APPLICABLE")," ", _xll.BDP($AR169,"FD118"))</f>
        <v>#N/A Connection</v>
      </c>
      <c r="Z169" s="8" t="str" cm="1">
        <f t="array" ref="Z169">IF(OR(_xll.BDP($AR169,"FD114")="#N/A N/A",_xll.BDP($AR169,"FD114")="#N/A FIELD NOT APPLICABLE")," ", _xll.BDP($AR169,"FD114"))</f>
        <v>#N/A Connection</v>
      </c>
      <c r="AA169" s="8" t="str" cm="1">
        <f t="array" ref="AA169">IF(OR(_xll.BDP($AR169,"FD003")="#N/A N/A",_xll.BDP($AR169,"FD003")="#N/A FIELD NOT APPLICABLE")," ", _xll.BDP($AR169,"FD003"))</f>
        <v>#N/A Connection</v>
      </c>
      <c r="AB169" s="44" t="e" cm="1">
        <f t="array" ref="AB169">IF(OR(_xll.BDP($AR169,"PR061")="#N/A N/A",_xll.BDP($AR169,"PR061")="#N/A FIELD NOT APPLICABLE")," ", _xll.BDP($AR169,"PR061")/100)</f>
        <v>#VALUE!</v>
      </c>
      <c r="AC169" s="42" t="e" cm="1">
        <f t="array" ref="AC169">IF(OR(_xll.BDP($AR169,"RT075")="#N/A N/A",_xll.BDP($AR169,"RT075")="#N/A FIELD NOT APPLICABLE")," ", _xll.BDP($AR169,"RT075")/100)</f>
        <v>#VALUE!</v>
      </c>
      <c r="AD169" s="42" t="e" cm="1">
        <f t="array" ref="AD169">IF(OR(_xll.BDP($AR169,"RT076")="#N/A N/A",_xll.BDP($AR169,"RT076")="#N/A FIELD NOT APPLICABLE")," ", _xll.BDP($AR169,"RT076")/100)</f>
        <v>#VALUE!</v>
      </c>
      <c r="AE169" s="42" t="e" cm="1">
        <f t="array" ref="AE169">IF(OR(_xll.BDP($AR169,"FD252")="#N/A N/A",_xll.BDP($AR169,"FD252")="#N/A FIELD NOT APPLICABLE")," ", _xll.BDP($AR169,"FD252")/100)</f>
        <v>#VALUE!</v>
      </c>
      <c r="AF169" s="42" t="e" cm="1">
        <f t="array" ref="AF169">IF(OR(_xll.BDP($AR169,"FD015")="#N/A N/A",_xll.BDP($AR169,"FD015")="#N/A FIELD NOT APPLICABLE")," ", _xll.BDP($AR169,"FD015")/100)</f>
        <v>#VALUE!</v>
      </c>
      <c r="AG169" s="42" t="e" cm="1">
        <f t="array" ref="AG169">IF(OR(_xll.BDP($AR169,"FD138")="#N/A N/A",_xll.BDP($AR169,"FD138")="#N/A FIELD NOT APPLICABLE")," ", _xll.BDP($AR169,"FD138")/100)</f>
        <v>#VALUE!</v>
      </c>
      <c r="AH169" s="68" t="e" cm="1">
        <f t="array" ref="AH169">IF(OR(_xll.BDP($AR169,"FD009")="#N/A N/A",_xll.BDP($AR169,"FD009")="#N/A FIELD NOT APPLICABLE")," ", _xll.BDP($AR169,"FD009")/100)</f>
        <v>#VALUE!</v>
      </c>
      <c r="AI169" s="42" t="e" cm="1">
        <f t="array" ref="AI169">IF(OR(_xll.BDP($AR169,"RK512")="#N/A N/A",_xll.BDP($AR169,"RK512")="#N/A FIELD NOT APPLICABLE")," ", _xll.BDP($AR169,"RK512")/100)</f>
        <v>#VALUE!</v>
      </c>
      <c r="AJ169" s="42" t="e" cm="1">
        <f t="array" ref="AJ169">IF(OR(_xll.BDP($AR169,"RK514")="#N/A N/A",_xll.BDP($AR169,"RK514")="#N/A FIELD NOT APPLICABLE")," ", _xll.BDP($AR169,"RK514")/100)</f>
        <v>#VALUE!</v>
      </c>
      <c r="AK169" s="42" t="e" cm="1">
        <f t="array" ref="AK169">IF(OR(_xll.BDP($AR169,"RK521")="#N/A N/A",_xll.BDP($AR169,"RK521")="#N/A FIELD NOT APPLICABLE")," ", _xll.BDP($AR169,"RK521")/100)</f>
        <v>#VALUE!</v>
      </c>
      <c r="AL169" s="42" t="e" cm="1">
        <f t="array" ref="AL169">IF(OR(_xll.BDP($AR169,"RK525")="#N/A N/A",_xll.BDP($AR169,"RK525")="#N/A FIELD NOT APPLICABLE")," ", _xll.BDP($AR169,"RK525")/100)</f>
        <v>#VALUE!</v>
      </c>
      <c r="AM169" s="42" t="e" cm="1">
        <f t="array" ref="AM169">IF(OR(_xll.BDP($AR169,"RK524")="#N/A N/A",_xll.BDP($AR169,"RK524")="#N/A FIELD NOT APPLICABLE")," ", _xll.BDP($AR169,"RK524")/100)</f>
        <v>#VALUE!</v>
      </c>
      <c r="AN169" s="42" t="str" cm="1">
        <f t="array" ref="AN169">IF(OR(_xll.BDP($AR169,"FD183")="#N/A N/A",_xll.BDP($AR169,"FD183")="#N/A FIELD NOT APPLICABLE")," ", _xll.BDP($AR169,"FD183"))</f>
        <v>#N/A Connection</v>
      </c>
      <c r="AO169" s="42" t="str" cm="1">
        <f t="array" ref="AO169">IF(OR(_xll.BDP($AR169,"DY997")="#N/A N/A",_xll.BDP($AR169,"DY997")="#N/A FIELD NOT APPLICABLE")," ", _xll.BDP($AR169,"DY997"))</f>
        <v>#N/A Connection</v>
      </c>
      <c r="AP169" s="42" t="str" cm="1">
        <f t="array" ref="AP169">IF(OR(_xll.BDP($AR169,"DY784")="#N/A N/A",_xll.BDP($AR169,"DY784")="#N/A FIELD NOT APPLICABLE")," ", _xll.BDP($AR169,"DY784"))</f>
        <v>#N/A Connection</v>
      </c>
      <c r="AQ169" s="8" t="str">
        <f t="shared" si="49"/>
        <v>N</v>
      </c>
      <c r="AR169" s="8" t="str">
        <f t="shared" si="47"/>
        <v>LU0447611657 Equity</v>
      </c>
      <c r="AW169" s="282" t="str" cm="1">
        <f t="array" ref="AW169">_xll.BDP(AR169,"ID005")</f>
        <v>#N/A Connection</v>
      </c>
      <c r="AX169" s="121">
        <v>0.65</v>
      </c>
      <c r="AY169" s="119">
        <v>5</v>
      </c>
      <c r="AZ169" s="137">
        <v>44483</v>
      </c>
      <c r="BA169" s="118">
        <v>1.0000000000107532</v>
      </c>
    </row>
    <row r="170" spans="1:53" ht="14.45" customHeight="1" thickBot="1" x14ac:dyDescent="0.3">
      <c r="A170" s="48"/>
      <c r="B170" s="48"/>
      <c r="C170" s="48"/>
      <c r="D170" s="48"/>
      <c r="E170" s="48"/>
      <c r="F170" s="48"/>
      <c r="G170" s="69"/>
      <c r="H170" s="49">
        <f>IFERROR(SUMPRODUCT(H163:H169,O163:O169)/O170,0)</f>
        <v>0</v>
      </c>
      <c r="I170" s="51"/>
      <c r="J170" s="51"/>
      <c r="K170" s="50"/>
      <c r="L170" s="52"/>
      <c r="M170" s="48"/>
      <c r="N170" s="53">
        <f>IFERROR(SUM(N163:N169),0)</f>
        <v>0</v>
      </c>
      <c r="O170" s="53">
        <f>IFERROR(SUM(O163:O169),0)</f>
        <v>0</v>
      </c>
      <c r="P170" s="221">
        <f>IFERROR(O170-N170,0)</f>
        <v>0</v>
      </c>
      <c r="Q170" s="239">
        <f>IFERROR(SUMPRODUCT(Q163:Q169,N163:N169)/N170,0)</f>
        <v>0</v>
      </c>
      <c r="R170" s="239">
        <f>IFERROR(SUM(R163:R169),0)</f>
        <v>0</v>
      </c>
      <c r="S170" s="53">
        <f>IFERROR(SUM(S163:S169),0)</f>
        <v>0</v>
      </c>
      <c r="T170" s="53">
        <f>IFERROR(SUM(T163:T169),0)</f>
        <v>0</v>
      </c>
      <c r="U170" s="54"/>
      <c r="V170" s="218"/>
      <c r="W170" s="51"/>
      <c r="X170" s="218"/>
      <c r="Y170" s="226"/>
      <c r="Z170" s="48"/>
      <c r="AA170" s="48"/>
      <c r="AB170" s="57"/>
      <c r="AC170" s="51"/>
      <c r="AD170" s="51"/>
      <c r="AE170" s="51"/>
      <c r="AF170" s="51"/>
      <c r="AG170" s="51"/>
      <c r="AH170" s="71"/>
      <c r="AI170" s="51"/>
      <c r="AJ170" s="51"/>
      <c r="AK170" s="51"/>
      <c r="AL170" s="51"/>
      <c r="AM170" s="51"/>
      <c r="AN170" s="51"/>
      <c r="AO170" s="51"/>
      <c r="AP170" s="51"/>
      <c r="AQ170" s="48"/>
      <c r="AR170" s="48"/>
      <c r="AW170" s="218"/>
      <c r="AX170" s="218" t="e">
        <f>SUMPRODUCT(AX163:AX169,O163:O169)/O170</f>
        <v>#VALUE!</v>
      </c>
      <c r="AY170" s="55" t="e">
        <f>SUMPRODUCT(AY163:AY169,O163:O169)/O170</f>
        <v>#VALUE!</v>
      </c>
      <c r="AZ170" s="48"/>
      <c r="BA170" s="70"/>
    </row>
    <row r="171" spans="1:53" ht="14.45" customHeight="1" thickTop="1" x14ac:dyDescent="0.25">
      <c r="A171" s="58"/>
      <c r="B171" s="58"/>
      <c r="C171" s="59"/>
      <c r="D171" s="60"/>
      <c r="E171" s="58"/>
      <c r="F171" s="61"/>
      <c r="G171" s="61"/>
      <c r="H171" s="58"/>
      <c r="I171" s="58"/>
      <c r="J171" s="58"/>
      <c r="K171" s="62"/>
      <c r="L171" s="72"/>
      <c r="M171" s="63"/>
      <c r="N171" s="73"/>
      <c r="O171" s="64"/>
      <c r="P171" s="74"/>
      <c r="Q171" s="61"/>
      <c r="R171" s="63"/>
      <c r="S171" s="61"/>
      <c r="T171" s="58"/>
      <c r="U171" s="63"/>
      <c r="V171" s="66"/>
      <c r="W171" s="63"/>
      <c r="X171" s="63"/>
      <c r="Y171" s="63"/>
      <c r="Z171" s="63"/>
      <c r="AA171" s="63"/>
      <c r="AB171" s="63"/>
      <c r="AC171" s="75"/>
      <c r="AD171" s="63"/>
      <c r="AE171" s="63"/>
      <c r="AF171" s="63"/>
      <c r="AG171" s="58"/>
      <c r="AH171" s="58"/>
      <c r="AI171" s="63"/>
      <c r="AJ171" s="63"/>
      <c r="AK171" s="58"/>
      <c r="AL171" s="2"/>
      <c r="AM171" s="2"/>
      <c r="AN171" s="63"/>
      <c r="AO171" s="2"/>
      <c r="AP171" s="2"/>
      <c r="AQ171" s="58"/>
    </row>
    <row r="172" spans="1:53" ht="14.45" customHeight="1" x14ac:dyDescent="0.25">
      <c r="A172" s="58"/>
      <c r="B172" s="58"/>
      <c r="C172" s="59"/>
      <c r="D172" s="60"/>
      <c r="E172" s="58"/>
      <c r="F172" s="61"/>
      <c r="G172" s="61"/>
      <c r="H172" s="58"/>
      <c r="I172" s="58"/>
      <c r="J172" s="58"/>
      <c r="K172" s="62"/>
      <c r="L172" s="72"/>
      <c r="M172" s="63"/>
      <c r="N172" s="73"/>
      <c r="O172" s="64"/>
      <c r="P172" s="74"/>
      <c r="Q172" s="61"/>
      <c r="R172" s="64"/>
      <c r="S172" s="61"/>
      <c r="T172" s="58"/>
      <c r="U172" s="63"/>
      <c r="V172" s="66"/>
      <c r="W172" s="63"/>
      <c r="X172" s="63"/>
      <c r="Y172" s="63"/>
      <c r="Z172" s="63"/>
      <c r="AA172" s="63"/>
      <c r="AB172" s="63"/>
      <c r="AC172" s="75"/>
      <c r="AD172" s="63"/>
      <c r="AE172" s="63"/>
      <c r="AF172" s="63"/>
      <c r="AG172" s="58"/>
      <c r="AH172" s="58"/>
      <c r="AI172" s="63"/>
      <c r="AJ172" s="63"/>
      <c r="AK172" s="58"/>
      <c r="AL172" s="2"/>
      <c r="AM172" s="2"/>
      <c r="AN172" s="63"/>
      <c r="AO172" s="2"/>
      <c r="AP172" s="2"/>
      <c r="AQ172" s="58"/>
    </row>
    <row r="173" spans="1:53" ht="14.45" customHeight="1" x14ac:dyDescent="0.25">
      <c r="A173" s="134" t="s">
        <v>210</v>
      </c>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spans="1:53" ht="30.75" customHeight="1" x14ac:dyDescent="0.25">
      <c r="A174" s="199" t="s">
        <v>4</v>
      </c>
      <c r="B174" s="199" t="s">
        <v>54</v>
      </c>
      <c r="C174" s="199" t="s">
        <v>8</v>
      </c>
      <c r="D174" s="199" t="s">
        <v>78</v>
      </c>
      <c r="E174" s="199" t="s">
        <v>162</v>
      </c>
      <c r="F174" s="199" t="s">
        <v>53</v>
      </c>
      <c r="G174" s="199" t="s">
        <v>211</v>
      </c>
      <c r="H174" s="199" t="s">
        <v>212</v>
      </c>
      <c r="I174" s="199" t="s">
        <v>93</v>
      </c>
      <c r="J174" s="214" t="s">
        <v>163</v>
      </c>
      <c r="K174" s="199" t="s">
        <v>24</v>
      </c>
      <c r="L174" s="199" t="s">
        <v>153</v>
      </c>
      <c r="M174" s="199" t="s">
        <v>154</v>
      </c>
      <c r="N174" s="199" t="s">
        <v>155</v>
      </c>
      <c r="O174" s="199" t="s">
        <v>92</v>
      </c>
      <c r="P174" s="214" t="s">
        <v>116</v>
      </c>
      <c r="Q174" s="199" t="s">
        <v>157</v>
      </c>
      <c r="R174" s="199" t="s">
        <v>146</v>
      </c>
      <c r="S174" s="199" t="s">
        <v>160</v>
      </c>
      <c r="T174" s="214" t="s">
        <v>18</v>
      </c>
      <c r="U174" s="214" t="s">
        <v>213</v>
      </c>
      <c r="V174" s="214" t="s">
        <v>423</v>
      </c>
      <c r="W174" s="214" t="s">
        <v>424</v>
      </c>
      <c r="X174" s="214" t="s">
        <v>425</v>
      </c>
      <c r="Y174" s="214" t="s">
        <v>426</v>
      </c>
      <c r="Z174" s="214" t="s">
        <v>427</v>
      </c>
      <c r="AF174" s="227"/>
      <c r="AG174" s="227"/>
      <c r="AH174" s="227"/>
      <c r="AI174" s="227"/>
      <c r="AJ174" s="227"/>
      <c r="AK174" s="227"/>
      <c r="AL174" s="227"/>
      <c r="AM174" s="227"/>
      <c r="AN174" s="227"/>
      <c r="AO174" s="227"/>
      <c r="AP174" s="227"/>
      <c r="AQ174" s="227"/>
      <c r="AR174" s="227"/>
      <c r="AS174" s="227"/>
      <c r="AT174" s="227"/>
      <c r="AW174" s="199" t="s">
        <v>8</v>
      </c>
      <c r="AX174" s="214" t="s">
        <v>65</v>
      </c>
      <c r="AY174" s="199" t="s">
        <v>147</v>
      </c>
      <c r="AZ174" s="199" t="s">
        <v>162</v>
      </c>
      <c r="BA174" s="199" t="s">
        <v>192</v>
      </c>
    </row>
    <row r="175" spans="1:53" ht="14.45" customHeight="1" x14ac:dyDescent="0.25">
      <c r="A175" s="119"/>
      <c r="B175" s="119"/>
      <c r="C175" s="119"/>
      <c r="D175" s="119"/>
      <c r="E175" s="137"/>
      <c r="F175" s="137"/>
      <c r="G175" s="116"/>
      <c r="H175" s="122"/>
      <c r="I175" s="122" t="s">
        <v>72</v>
      </c>
      <c r="J175" s="121"/>
      <c r="K175" s="10">
        <f>IF(B175="USD",G175,(((_xll.BDP(B175&amp;"USD CURNCY","PX_LAST")))*G175))</f>
        <v>0</v>
      </c>
      <c r="L175" s="123"/>
      <c r="M175" s="123"/>
      <c r="N175" s="77">
        <f>IF(B175="USD",S175,(((_xll.BDP(B175&amp;"USD CURNCY","PX_LAST")))*S175))</f>
        <v>0</v>
      </c>
      <c r="O175" s="77">
        <f>IF(B175="USD",T175,(((_xll.BDP(B175&amp;"USD CURNCY","PX_LAST")))*T175))</f>
        <v>0</v>
      </c>
      <c r="P175" s="146">
        <f>O175-N175</f>
        <v>0</v>
      </c>
      <c r="Q175" s="237">
        <f>IFERROR(P175/N175,0)</f>
        <v>0</v>
      </c>
      <c r="R175" s="237">
        <f>IFERROR(O175/$D$49,0)</f>
        <v>0</v>
      </c>
      <c r="S175" s="10">
        <f>G175*L175/100</f>
        <v>0</v>
      </c>
      <c r="T175" s="10">
        <f>M175*G175/100</f>
        <v>0</v>
      </c>
      <c r="U175" s="42" t="str" cm="1">
        <f t="array" ref="U175">IF(OR(_xll.BDP($C175,"DS827")="#N/A N/A",_xll.BDP($C175,"DS827")="#N/A FIELD NOT APPLICABLE")," ", _xll.BDP($C175,"DS827"))</f>
        <v>#N/A Mandatory parameter [SECURITY] cannot be empty</v>
      </c>
      <c r="V175" s="122"/>
      <c r="W175" s="122"/>
      <c r="X175" s="122"/>
      <c r="Y175" s="122"/>
      <c r="Z175" s="122"/>
      <c r="AW175" s="282">
        <f>C175</f>
        <v>0</v>
      </c>
      <c r="AX175" s="121">
        <v>0.65</v>
      </c>
      <c r="AY175" s="119">
        <v>5</v>
      </c>
      <c r="AZ175" s="137"/>
      <c r="BA175" s="118">
        <v>1.0000000000107532</v>
      </c>
    </row>
    <row r="176" spans="1:53" ht="14.45" customHeight="1" x14ac:dyDescent="0.25">
      <c r="A176" s="119"/>
      <c r="B176" s="119"/>
      <c r="C176" s="119"/>
      <c r="D176" s="119"/>
      <c r="E176" s="137"/>
      <c r="F176" s="137"/>
      <c r="G176" s="116"/>
      <c r="H176" s="122"/>
      <c r="I176" s="122" t="s">
        <v>72</v>
      </c>
      <c r="J176" s="121"/>
      <c r="K176" s="10">
        <f>IF(B176="USD",G176,(((_xll.BDP(B176&amp;"USD CURNCY","PX_LAST")))*G176))</f>
        <v>0</v>
      </c>
      <c r="L176" s="123"/>
      <c r="M176" s="123"/>
      <c r="N176" s="77">
        <f>IF(B176="USD",S176,(((_xll.BDP(B176&amp;"USD CURNCY","PX_LAST")))*S176))</f>
        <v>0</v>
      </c>
      <c r="O176" s="77">
        <f>IF(B176="USD",T176,(((_xll.BDP(B176&amp;"USD CURNCY","PX_LAST")))*T176))</f>
        <v>0</v>
      </c>
      <c r="P176" s="146">
        <f>O176-N176</f>
        <v>0</v>
      </c>
      <c r="Q176" s="237">
        <f>IFERROR(P176/N176,0)</f>
        <v>0</v>
      </c>
      <c r="R176" s="237">
        <f>IFERROR(O176/$D$49,0)</f>
        <v>0</v>
      </c>
      <c r="S176" s="10">
        <f>G176*L176/100</f>
        <v>0</v>
      </c>
      <c r="T176" s="10">
        <f>M176*G176/100</f>
        <v>0</v>
      </c>
      <c r="U176" s="42" t="str" cm="1">
        <f t="array" ref="U176">IF(OR(_xll.BDP($C176,"DS827")="#N/A N/A",_xll.BDP($C176,"DS827")="#N/A FIELD NOT APPLICABLE")," ", _xll.BDP($C176,"DS827"))</f>
        <v>#N/A Mandatory parameter [SECURITY] cannot be empty</v>
      </c>
      <c r="V176" s="122"/>
      <c r="W176" s="122"/>
      <c r="X176" s="122"/>
      <c r="Y176" s="122"/>
      <c r="Z176" s="122"/>
      <c r="AW176" s="282">
        <f t="shared" ref="AW176:AW178" si="52">C176</f>
        <v>0</v>
      </c>
      <c r="AX176" s="121">
        <v>0.65</v>
      </c>
      <c r="AY176" s="119">
        <v>5</v>
      </c>
      <c r="AZ176" s="137"/>
      <c r="BA176" s="118">
        <v>1.0000000000107532</v>
      </c>
    </row>
    <row r="177" spans="1:53" ht="14.45" customHeight="1" x14ac:dyDescent="0.25">
      <c r="A177" s="119"/>
      <c r="B177" s="119"/>
      <c r="C177" s="119"/>
      <c r="D177" s="119"/>
      <c r="E177" s="137"/>
      <c r="F177" s="137"/>
      <c r="G177" s="116"/>
      <c r="H177" s="122"/>
      <c r="I177" s="122" t="s">
        <v>72</v>
      </c>
      <c r="J177" s="121"/>
      <c r="K177" s="10">
        <f>IF(B177="USD",G177,(((_xll.BDP(B177&amp;"USD CURNCY","PX_LAST")))*G177))</f>
        <v>0</v>
      </c>
      <c r="L177" s="123"/>
      <c r="M177" s="123"/>
      <c r="N177" s="77">
        <f>IF(B177="USD",S177,(((_xll.BDP(B177&amp;"USD CURNCY","PX_LAST")))*S177))</f>
        <v>0</v>
      </c>
      <c r="O177" s="77">
        <f>IF(B177="USD",T177,(((_xll.BDP(B177&amp;"USD CURNCY","PX_LAST")))*T177))</f>
        <v>0</v>
      </c>
      <c r="P177" s="146">
        <f>O177-N177</f>
        <v>0</v>
      </c>
      <c r="Q177" s="237">
        <f>IFERROR(P177/N177,0)</f>
        <v>0</v>
      </c>
      <c r="R177" s="237">
        <f>IFERROR(O177/$D$49,0)</f>
        <v>0</v>
      </c>
      <c r="S177" s="10">
        <f>G177*L177/100</f>
        <v>0</v>
      </c>
      <c r="T177" s="10">
        <f>M177*G177/100</f>
        <v>0</v>
      </c>
      <c r="U177" s="42" t="str" cm="1">
        <f t="array" ref="U177">IF(OR(_xll.BDP($C177,"DS827")="#N/A N/A",_xll.BDP($C177,"DS827")="#N/A FIELD NOT APPLICABLE")," ", _xll.BDP($C177,"DS827"))</f>
        <v>#N/A Mandatory parameter [SECURITY] cannot be empty</v>
      </c>
      <c r="V177" s="122"/>
      <c r="W177" s="122"/>
      <c r="X177" s="122"/>
      <c r="Y177" s="122"/>
      <c r="Z177" s="122"/>
      <c r="AW177" s="282">
        <f t="shared" si="52"/>
        <v>0</v>
      </c>
      <c r="AX177" s="121">
        <v>0.65</v>
      </c>
      <c r="AY177" s="119">
        <v>5</v>
      </c>
      <c r="AZ177" s="137"/>
      <c r="BA177" s="118">
        <v>1.0000000000107532</v>
      </c>
    </row>
    <row r="178" spans="1:53" ht="14.45" customHeight="1" x14ac:dyDescent="0.25">
      <c r="A178" s="119"/>
      <c r="B178" s="119"/>
      <c r="C178" s="119"/>
      <c r="D178" s="119"/>
      <c r="E178" s="137"/>
      <c r="F178" s="137"/>
      <c r="G178" s="116"/>
      <c r="H178" s="122"/>
      <c r="I178" s="122" t="s">
        <v>72</v>
      </c>
      <c r="J178" s="121"/>
      <c r="K178" s="10">
        <f>IF(B178="USD",G178,(((_xll.BDP(B178&amp;"USD CURNCY","PX_LAST")))*G178))</f>
        <v>0</v>
      </c>
      <c r="L178" s="123"/>
      <c r="M178" s="123"/>
      <c r="N178" s="77">
        <f>IF(B178="USD",S178,(((_xll.BDP(B178&amp;"USD CURNCY","PX_LAST")))*S178))</f>
        <v>0</v>
      </c>
      <c r="O178" s="77">
        <f>IF(B178="USD",T178,(((_xll.BDP(B178&amp;"USD CURNCY","PX_LAST")))*T178))</f>
        <v>0</v>
      </c>
      <c r="P178" s="146">
        <f>O178-N178</f>
        <v>0</v>
      </c>
      <c r="Q178" s="237">
        <f>IFERROR(P178/N178,0)</f>
        <v>0</v>
      </c>
      <c r="R178" s="237">
        <f>IFERROR(O178/$D$49,0)</f>
        <v>0</v>
      </c>
      <c r="S178" s="10">
        <f>G178*L178/100</f>
        <v>0</v>
      </c>
      <c r="T178" s="10">
        <f>M178*G178/100</f>
        <v>0</v>
      </c>
      <c r="U178" s="42" t="str" cm="1">
        <f t="array" ref="U178">IF(OR(_xll.BDP($C178,"DS827")="#N/A N/A",_xll.BDP($C178,"DS827")="#N/A FIELD NOT APPLICABLE")," ", _xll.BDP($C178,"DS827"))</f>
        <v>#N/A Mandatory parameter [SECURITY] cannot be empty</v>
      </c>
      <c r="V178" s="122"/>
      <c r="W178" s="122"/>
      <c r="X178" s="122"/>
      <c r="Y178" s="122"/>
      <c r="Z178" s="122"/>
      <c r="AW178" s="282">
        <f t="shared" si="52"/>
        <v>0</v>
      </c>
      <c r="AX178" s="121">
        <v>0.8</v>
      </c>
      <c r="AY178" s="119">
        <v>3</v>
      </c>
      <c r="AZ178" s="137"/>
      <c r="BA178" s="118">
        <v>1.0000000000107532</v>
      </c>
    </row>
    <row r="179" spans="1:53" ht="14.45" customHeight="1" thickBot="1" x14ac:dyDescent="0.3">
      <c r="A179" s="78"/>
      <c r="B179" s="78"/>
      <c r="C179" s="85"/>
      <c r="D179" s="78"/>
      <c r="E179" s="78"/>
      <c r="F179" s="79"/>
      <c r="G179" s="79"/>
      <c r="H179" s="80">
        <f>IFERROR(SUMPRODUCT(H175:H178,K175:K178)/K179,0)</f>
        <v>0</v>
      </c>
      <c r="I179" s="78"/>
      <c r="J179" s="84"/>
      <c r="K179" s="82">
        <f>SUM(K175:K178)</f>
        <v>0</v>
      </c>
      <c r="L179" s="78"/>
      <c r="M179" s="81"/>
      <c r="N179" s="82">
        <f>SUM(N175:N178)</f>
        <v>0</v>
      </c>
      <c r="O179" s="82">
        <f>SUM(O175:O178)</f>
        <v>0</v>
      </c>
      <c r="P179" s="221">
        <f>SUM(P175:P178)</f>
        <v>0</v>
      </c>
      <c r="Q179" s="239">
        <f>IFERROR(SUMPRODUCT(Q175:Q178,N175:N178)/N179,0)</f>
        <v>0</v>
      </c>
      <c r="R179" s="239">
        <f>SUM(R175:R178)</f>
        <v>0</v>
      </c>
      <c r="S179" s="83"/>
      <c r="T179" s="84"/>
      <c r="U179" s="48"/>
      <c r="V179" s="48"/>
      <c r="W179" s="48"/>
      <c r="X179" s="48"/>
      <c r="Y179" s="48"/>
      <c r="Z179" s="48"/>
      <c r="AF179" s="227"/>
      <c r="AG179" s="227"/>
      <c r="AH179" s="227"/>
      <c r="AI179" s="227"/>
      <c r="AJ179" s="227"/>
      <c r="AK179" s="227"/>
      <c r="AL179" s="227"/>
      <c r="AM179" s="227"/>
      <c r="AN179" s="227"/>
      <c r="AO179" s="227"/>
      <c r="AP179" s="227"/>
      <c r="AQ179" s="227"/>
      <c r="AR179" s="227"/>
      <c r="AS179" s="227"/>
      <c r="AT179" s="227"/>
      <c r="AW179" s="84"/>
      <c r="AX179" s="84">
        <f>IFERROR(SUMPRODUCT(AX175:AX178,O175:O178)/O179,0)</f>
        <v>0</v>
      </c>
      <c r="AY179" s="86">
        <f>IFERROR(SUMPRODUCT(AY175:AY178,O175:O178)/O179,0)</f>
        <v>0</v>
      </c>
      <c r="AZ179" s="86"/>
      <c r="BA179" s="86"/>
    </row>
    <row r="180" spans="1:53" ht="14.45" customHeight="1" thickTop="1" x14ac:dyDescent="0.25"/>
    <row r="185" spans="1:53" ht="14.45" customHeight="1" x14ac:dyDescent="0.25">
      <c r="A185" s="26" t="s">
        <v>129</v>
      </c>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29"/>
      <c r="AU185" s="229"/>
      <c r="AV185" s="229"/>
    </row>
    <row r="186" spans="1:53" ht="30.75" customHeight="1" x14ac:dyDescent="0.25">
      <c r="A186" s="199" t="s">
        <v>4</v>
      </c>
      <c r="B186" s="199" t="s">
        <v>54</v>
      </c>
      <c r="C186" s="199" t="s">
        <v>8</v>
      </c>
      <c r="D186" s="199" t="s">
        <v>29</v>
      </c>
      <c r="E186" s="199" t="s">
        <v>162</v>
      </c>
      <c r="F186" s="199" t="s">
        <v>30</v>
      </c>
      <c r="G186" s="199" t="s">
        <v>16</v>
      </c>
      <c r="H186" s="199" t="s">
        <v>58</v>
      </c>
      <c r="I186" s="199" t="s">
        <v>217</v>
      </c>
      <c r="J186" s="199" t="s">
        <v>218</v>
      </c>
      <c r="K186" s="199" t="s">
        <v>17</v>
      </c>
      <c r="L186" s="199" t="s">
        <v>153</v>
      </c>
      <c r="M186" s="214" t="s">
        <v>5</v>
      </c>
      <c r="N186" s="199" t="s">
        <v>155</v>
      </c>
      <c r="O186" s="199" t="s">
        <v>92</v>
      </c>
      <c r="P186" s="199" t="s">
        <v>116</v>
      </c>
      <c r="Q186" s="214" t="s">
        <v>334</v>
      </c>
      <c r="R186" s="199" t="s">
        <v>146</v>
      </c>
      <c r="S186" s="199" t="s">
        <v>24</v>
      </c>
      <c r="T186" s="214" t="s">
        <v>219</v>
      </c>
      <c r="U186" s="199" t="s">
        <v>18</v>
      </c>
      <c r="V186" s="199" t="s">
        <v>6</v>
      </c>
      <c r="W186" s="199" t="s">
        <v>193</v>
      </c>
      <c r="X186" s="199" t="s">
        <v>194</v>
      </c>
      <c r="Y186" s="214" t="s">
        <v>195</v>
      </c>
      <c r="Z186" s="199" t="s">
        <v>196</v>
      </c>
      <c r="AA186" s="214" t="s">
        <v>197</v>
      </c>
      <c r="AB186" s="199" t="s">
        <v>74</v>
      </c>
      <c r="AC186" s="199" t="s">
        <v>191</v>
      </c>
      <c r="AD186" s="199" t="s">
        <v>31</v>
      </c>
      <c r="AE186" s="199" t="s">
        <v>198</v>
      </c>
      <c r="AF186" s="199" t="s">
        <v>199</v>
      </c>
      <c r="AG186" s="199" t="s">
        <v>200</v>
      </c>
      <c r="AH186" s="199" t="s">
        <v>201</v>
      </c>
      <c r="AI186" s="199" t="s">
        <v>202</v>
      </c>
      <c r="AJ186" s="199" t="s">
        <v>203</v>
      </c>
      <c r="AK186" s="199" t="s">
        <v>204</v>
      </c>
      <c r="AL186" s="199" t="s">
        <v>205</v>
      </c>
      <c r="AM186" s="199" t="s">
        <v>206</v>
      </c>
      <c r="AN186" s="199" t="s">
        <v>207</v>
      </c>
      <c r="AO186" s="199" t="s">
        <v>208</v>
      </c>
      <c r="AP186" s="199" t="s">
        <v>209</v>
      </c>
      <c r="AQ186" s="199" t="s">
        <v>188</v>
      </c>
      <c r="AR186" s="199" t="s">
        <v>189</v>
      </c>
      <c r="AS186" s="199" t="s">
        <v>190</v>
      </c>
      <c r="AW186" s="199" t="s">
        <v>8</v>
      </c>
      <c r="AX186" s="199" t="s">
        <v>65</v>
      </c>
      <c r="AY186" s="199" t="s">
        <v>147</v>
      </c>
      <c r="AZ186" s="199" t="s">
        <v>162</v>
      </c>
      <c r="BA186" s="199" t="s">
        <v>192</v>
      </c>
    </row>
    <row r="187" spans="1:53" ht="14.45" customHeight="1" x14ac:dyDescent="0.25">
      <c r="A187" s="119"/>
      <c r="B187" s="8" t="str">
        <f>_xll.BDP(V187,"CRNCY")</f>
        <v>USD</v>
      </c>
      <c r="C187" s="119" t="s">
        <v>290</v>
      </c>
      <c r="D187" s="119"/>
      <c r="E187" s="137"/>
      <c r="F187" s="119"/>
      <c r="G187" s="119"/>
      <c r="H187" s="124"/>
      <c r="I187" s="125">
        <f>IFERROR(_xll.BDP(V187, "DV013")/100,0)</f>
        <v>0</v>
      </c>
      <c r="J187" s="87">
        <f>IFERROR(O187*I187,0)</f>
        <v>0</v>
      </c>
      <c r="K187" s="116"/>
      <c r="L187" s="117"/>
      <c r="M187" s="119"/>
      <c r="N187" s="10">
        <f>K187*L187*BA187</f>
        <v>0</v>
      </c>
      <c r="O187" s="10">
        <f>IF(B187="USD",U187,(((_xll.BDP(B187&amp;"USD CURNCY","PX_LAST")))*U187))</f>
        <v>0</v>
      </c>
      <c r="P187" s="146">
        <f t="shared" ref="P187" si="53">O187-N187</f>
        <v>0</v>
      </c>
      <c r="Q187" s="237">
        <f>IFERROR(P187/N187,0)</f>
        <v>0</v>
      </c>
      <c r="R187" s="237">
        <f>IFERROR(O187/$D$49,0)</f>
        <v>0</v>
      </c>
      <c r="S187" s="10">
        <f>O187</f>
        <v>0</v>
      </c>
      <c r="T187" s="10">
        <f>L187*K187</f>
        <v>0</v>
      </c>
      <c r="U187" s="10">
        <f>IFERROR(K187*M187,0)</f>
        <v>0</v>
      </c>
      <c r="V187" s="8" t="str">
        <f>CONCATENATE(C187," ",$AR$154)</f>
        <v>KYG078991000 Equity</v>
      </c>
      <c r="W187" s="42" t="str" cm="1">
        <f t="array" ref="W187">IF(OR(_xll.BDP($V187,"EX028")="#N/A N/A",_xll.BDP($V187,"EX028")="#N/A FIELD NOT APPLICABLE")," ", _xll.BDP($V187,"EX028"))</f>
        <v>Fund</v>
      </c>
      <c r="X187" s="67" t="str" cm="1">
        <f t="array" ref="X187">IF(OR(_xll.BDP($V187,"FD121")="#N/A N/A",_xll.BDP($V187,"FD121")="#N/A FIELD NOT APPLICABLE")," ", _xll.BDP($V187,"FD121"))</f>
        <v>Alternative</v>
      </c>
      <c r="Y187" s="42" t="str" cm="1">
        <f t="array" ref="Y187">IF(OR(_xll.BDP($U187,"FD118")="#N/A N/A",_xll.BDP($U187,"FD118")="#N/A FIELD NOT APPLICABLE")," ", _xll.BDP($U187,"FD118"))</f>
        <v>#N/A Invalid Security</v>
      </c>
      <c r="Z187" s="8" t="str" cm="1">
        <f t="array" ref="Z187">IF(OR(_xll.BDP($U187,"FD114")="#N/A N/A",_xll.BDP($U187,"FD114")="#N/A FIELD NOT APPLICABLE")," ", _xll.BDP($U187,"FD114"))</f>
        <v>#N/A Invalid Security</v>
      </c>
      <c r="AA187" s="8" t="str" cm="1">
        <f t="array" ref="AA187">IF(OR(_xll.BDP($U187,"FD003")="#N/A N/A",_xll.BDP($U187,"FD003")="#N/A FIELD NOT APPLICABLE")," ", _xll.BDP($U187,"FD003"))</f>
        <v>#N/A Invalid Security</v>
      </c>
      <c r="AB187" s="44" t="str" cm="1">
        <f t="array" ref="AB187">IF(OR(_xll.BDP($V187,"PR061")="#N/A N/A",_xll.BDP($V187,"PR061")="#N/A FIELD NOT APPLICABLE")," ", _xll.BDP($V187,"PR061")/100)</f>
        <v xml:space="preserve"> </v>
      </c>
      <c r="AC187" s="42" t="str" cm="1">
        <f t="array" ref="AC187">IF(OR(_xll.BDP($V187,"PR079")="#N/A N/A",_xll.BDP($V187,"PR079")="#N/A FIELD NOT APPLICABLE")," ", _xll.BDP($V187,"PR079")/100)</f>
        <v xml:space="preserve"> </v>
      </c>
      <c r="AD187" s="42" t="str" cm="1">
        <f t="array" ref="AD187">IF(OR(_xll.BDP($V187,"RT074")="#N/A N/A",_xll.BDP($V187,"RT074")="#N/A FIELD NOT APPLICABLE")," ", _xll.BDP($V187,"RT074")/100)</f>
        <v xml:space="preserve"> </v>
      </c>
      <c r="AE187" s="42" t="str" cm="1">
        <f t="array" ref="AE187">IF(OR(_xll.BDP($V187,"RT075")="#N/A N/A",_xll.BDP($V187,"RT075")="#N/A FIELD NOT APPLICABLE")," ", _xll.BDP($V187,"RT075")/100)</f>
        <v xml:space="preserve"> </v>
      </c>
      <c r="AF187" s="42" t="str" cm="1">
        <f t="array" ref="AF187">IF(OR(_xll.BDP($V187,"RT076")="#N/A N/A",_xll.BDP($V187,"RT076")="#N/A FIELD NOT APPLICABLE")," ", _xll.BDP($V187,"RT076")/100)</f>
        <v xml:space="preserve"> </v>
      </c>
      <c r="AG187" s="42" cm="1">
        <f t="array" ref="AG187">IF(OR(_xll.BDP($V187,"FD252")="#N/A N/A",_xll.BDP($V187,"FD252")="#N/A FIELD NOT APPLICABLE")," ", _xll.BDP($V187,"FD252")/100)</f>
        <v>0</v>
      </c>
      <c r="AH187" s="42" t="str" cm="1">
        <f t="array" ref="AH187">IF(OR(_xll.BDP($V187,"FD015")="#N/A N/A",_xll.BDP($V187,"FD015")="#N/A FIELD NOT APPLICABLE")," ", _xll.BDP($V187,"FD015")/100)</f>
        <v xml:space="preserve"> </v>
      </c>
      <c r="AI187" s="42" cm="1">
        <f t="array" ref="AI187">IF(OR(_xll.BDP($V187,"FD138")="#N/A N/A",_xll.BDP($V187,"FD138")="#N/A FIELD NOT APPLICABLE")," ", _xll.BDP($V187,"FD138")/100)</f>
        <v>0.02</v>
      </c>
      <c r="AJ187" s="68" cm="1">
        <f t="array" ref="AJ187">IF(OR(_xll.BDP($V187,"FD009")="#N/A N/A",_xll.BDP($V187,"FD009")="#N/A FIELD NOT APPLICABLE")," ", _xll.BDP($V187,"FD009")/100)</f>
        <v>1000</v>
      </c>
      <c r="AK187" s="42" cm="1">
        <f t="array" ref="AK187">IF(OR(_xll.BDP($V187,"RK512")="#N/A N/A",_xll.BDP($V187,"RK512")="#N/A FIELD NOT APPLICABLE")," ", _xll.BDP($V187,"RK512")/100)</f>
        <v>-1.6464099999999999E-2</v>
      </c>
      <c r="AL187" s="42" cm="1">
        <f t="array" ref="AL187">IF(OR(_xll.BDP($V187,"RK514")="#N/A N/A",_xll.BDP($V187,"RK514")="#N/A FIELD NOT APPLICABLE")," ", _xll.BDP($V187,"RK514")/100)</f>
        <v>-5.3983299999999998E-3</v>
      </c>
      <c r="AM187" s="42" cm="1">
        <f t="array" ref="AM187">IF(OR(_xll.BDP($V187,"RK521")="#N/A N/A",_xll.BDP($V187,"RK521")="#N/A FIELD NOT APPLICABLE")," ", _xll.BDP($V187,"RK521")/100)</f>
        <v>-0.13827899999999999</v>
      </c>
      <c r="AN187" s="42" cm="1">
        <f t="array" ref="AN187">IF(OR(_xll.BDP($V187,"RK525")="#N/A N/A",_xll.BDP($V187,"RK525")="#N/A FIELD NOT APPLICABLE")," ", _xll.BDP($V187,"RK525")/100)</f>
        <v>1.0331300000000002E-2</v>
      </c>
      <c r="AO187" s="42" cm="1">
        <f t="array" ref="AO187">IF(OR(_xll.BDP($V187,"RK524")="#N/A N/A",_xll.BDP($V187,"RK524")="#N/A FIELD NOT APPLICABLE")," ", _xll.BDP($V187,"RK524")/100)</f>
        <v>-1.2297000000000001E-2</v>
      </c>
      <c r="AP187" s="42" t="str" cm="1">
        <f t="array" ref="AP187">IF(OR(_xll.BDP($V187,"FD183")="#N/A N/A",_xll.BDP($V187,"FD183")="#N/A FIELD NOT APPLICABLE")," ", _xll.BDP($V187,"FD183"))</f>
        <v>CL B1 SER 35234-09</v>
      </c>
      <c r="AQ187" s="42" t="str" cm="1">
        <f t="array" ref="AQ187">IF(OR(_xll.BDP($V187,"DY997")="#N/A N/A",_xll.BDP($V187,"DY997")="#N/A FIELD NOT APPLICABLE")," ", _xll.BDP($V187,"DY997"))</f>
        <v xml:space="preserve"> </v>
      </c>
      <c r="AR187" s="42" t="str" cm="1">
        <f t="array" ref="AR187">IF(OR(_xll.BDP($V187,"DY784")="#N/A N/A",_xll.BDP($V187,"DY784")="#N/A FIELD NOT APPLICABLE")," ", _xll.BDP($V187,"DY784"))</f>
        <v xml:space="preserve"> </v>
      </c>
      <c r="AS187" s="8" t="str">
        <f>IF(OR(AQ187="Y",AR187="Y"),"Y","N")</f>
        <v>N</v>
      </c>
      <c r="AW187" s="282" t="str">
        <f>C187</f>
        <v>KYG078991000</v>
      </c>
      <c r="AX187" s="121">
        <v>0</v>
      </c>
      <c r="AY187" s="119">
        <v>5</v>
      </c>
      <c r="AZ187" s="137"/>
      <c r="BA187" s="118">
        <v>1.0000000004370222</v>
      </c>
    </row>
    <row r="188" spans="1:53" ht="14.45" customHeight="1" thickBot="1" x14ac:dyDescent="0.3">
      <c r="A188" s="48"/>
      <c r="B188" s="48"/>
      <c r="C188" s="89"/>
      <c r="D188" s="48"/>
      <c r="E188" s="48"/>
      <c r="F188" s="48"/>
      <c r="G188" s="48"/>
      <c r="H188" s="69"/>
      <c r="I188" s="49">
        <f>IFERROR(SUMPRODUCT(I187:I187,O187:O187)/O188,0)</f>
        <v>0</v>
      </c>
      <c r="J188" s="70"/>
      <c r="K188" s="50"/>
      <c r="L188" s="52"/>
      <c r="M188" s="48"/>
      <c r="N188" s="53">
        <f>SUM(N187:N187)</f>
        <v>0</v>
      </c>
      <c r="O188" s="53">
        <f>SUM(O187:O187)</f>
        <v>0</v>
      </c>
      <c r="P188" s="221">
        <f>SUM(P187:P187)</f>
        <v>0</v>
      </c>
      <c r="Q188" s="239">
        <f>IFERROR(SUMPRODUCT(N187:N187,Q187:Q187)/N188,0)</f>
        <v>0</v>
      </c>
      <c r="R188" s="239">
        <f>SUM(R187:R187)</f>
        <v>0</v>
      </c>
      <c r="S188" s="53">
        <f>SUM(S187:S187)</f>
        <v>0</v>
      </c>
      <c r="T188" s="54"/>
      <c r="U188" s="88"/>
      <c r="V188" s="48"/>
      <c r="W188" s="51"/>
      <c r="X188" s="88"/>
      <c r="Y188" s="88"/>
      <c r="Z188" s="88"/>
      <c r="AA188" s="88"/>
      <c r="AB188" s="57"/>
      <c r="AC188" s="51"/>
      <c r="AD188" s="51"/>
      <c r="AE188" s="51"/>
      <c r="AF188" s="51"/>
      <c r="AG188" s="51"/>
      <c r="AH188" s="51"/>
      <c r="AI188" s="51"/>
      <c r="AJ188" s="71"/>
      <c r="AK188" s="51"/>
      <c r="AL188" s="51"/>
      <c r="AM188" s="51"/>
      <c r="AN188" s="51"/>
      <c r="AO188" s="51"/>
      <c r="AP188" s="51"/>
      <c r="AQ188" s="51"/>
      <c r="AR188" s="51"/>
      <c r="AS188" s="48"/>
      <c r="AW188" s="88"/>
      <c r="AX188" s="88">
        <f>IFERROR(SUMPRODUCT(AX187:AX187,O187:O187)/O188,0)</f>
        <v>0</v>
      </c>
      <c r="AY188" s="90">
        <f>IFERROR(SUMPRODUCT(AY187:AY187,O187:O187)/O188,0)</f>
        <v>0</v>
      </c>
      <c r="AZ188" s="90"/>
      <c r="BA188" s="70"/>
    </row>
    <row r="189" spans="1:53" ht="14.45" customHeight="1" thickTop="1" x14ac:dyDescent="0.25">
      <c r="A189" s="58"/>
      <c r="B189" s="58"/>
      <c r="C189" s="58"/>
      <c r="D189" s="58"/>
      <c r="E189" s="58"/>
      <c r="F189" s="72"/>
      <c r="G189" s="59"/>
      <c r="H189" s="60"/>
      <c r="I189" s="58"/>
      <c r="J189" s="64"/>
      <c r="K189" s="64"/>
      <c r="L189" s="66"/>
      <c r="M189" s="66"/>
      <c r="N189" s="66"/>
      <c r="O189" s="66"/>
      <c r="P189" s="66"/>
      <c r="Q189" s="66"/>
      <c r="R189"/>
      <c r="S189" s="74"/>
      <c r="T189" s="74"/>
      <c r="U189" s="91"/>
      <c r="V189" s="74"/>
      <c r="W189" s="64"/>
      <c r="X189" s="91"/>
      <c r="Y189" s="58"/>
      <c r="Z189" s="92"/>
      <c r="AA189" s="92"/>
      <c r="AB189" s="91"/>
      <c r="AC189" s="92"/>
      <c r="AD189" s="58"/>
      <c r="AE189" s="63"/>
      <c r="AF189" s="91"/>
      <c r="AG189" s="66"/>
      <c r="AH189" s="63"/>
      <c r="AI189" s="63"/>
      <c r="AJ189" s="63"/>
      <c r="AK189" s="63"/>
      <c r="AL189" s="63"/>
      <c r="AM189" s="63"/>
      <c r="AN189" s="63"/>
      <c r="AO189" s="75"/>
      <c r="AP189" s="63"/>
      <c r="AQ189" s="63"/>
      <c r="AR189" s="63"/>
      <c r="AS189" s="63"/>
      <c r="AT189" s="63"/>
      <c r="AU189" s="63"/>
      <c r="AV189" s="63"/>
      <c r="AW189" s="58"/>
      <c r="AX189" s="58"/>
    </row>
    <row r="190" spans="1:53" ht="14.45" customHeight="1" x14ac:dyDescent="0.25">
      <c r="A190" s="232"/>
      <c r="B190" s="232"/>
      <c r="C190" s="233"/>
      <c r="D190" s="234"/>
      <c r="E190" s="232"/>
      <c r="F190" s="235"/>
      <c r="G190" s="235"/>
      <c r="H190" s="235"/>
      <c r="I190" s="235"/>
      <c r="J190" s="235"/>
      <c r="K190" s="235"/>
      <c r="L190" s="236"/>
      <c r="M190" s="235"/>
    </row>
    <row r="191" spans="1:53" ht="14.45" customHeight="1" x14ac:dyDescent="0.25">
      <c r="A191" s="134" t="s">
        <v>130</v>
      </c>
      <c r="B191" s="134"/>
      <c r="C191" s="134"/>
      <c r="D191" s="134"/>
      <c r="E191" s="134"/>
      <c r="F191" s="134"/>
      <c r="G191" s="134"/>
      <c r="H191" s="134"/>
      <c r="I191" s="134"/>
      <c r="J191" s="134"/>
      <c r="K191" s="134"/>
      <c r="L191" s="134"/>
      <c r="M191" s="134"/>
      <c r="N191" s="134"/>
      <c r="O191" s="134"/>
      <c r="P191" s="134"/>
      <c r="Q191" s="134"/>
      <c r="R191" s="134"/>
      <c r="S191" s="134"/>
    </row>
    <row r="192" spans="1:53" ht="30.75" customHeight="1" x14ac:dyDescent="0.25">
      <c r="A192" s="199" t="s">
        <v>9</v>
      </c>
      <c r="B192" s="199" t="s">
        <v>73</v>
      </c>
      <c r="C192" s="199" t="s">
        <v>220</v>
      </c>
      <c r="D192" s="199" t="s">
        <v>221</v>
      </c>
      <c r="E192" s="199" t="s">
        <v>222</v>
      </c>
      <c r="F192" s="199" t="s">
        <v>24</v>
      </c>
      <c r="G192" s="214" t="s">
        <v>56</v>
      </c>
      <c r="H192" s="199" t="s">
        <v>8</v>
      </c>
      <c r="I192" s="199" t="s">
        <v>396</v>
      </c>
      <c r="J192" s="199" t="s">
        <v>223</v>
      </c>
      <c r="K192" s="199" t="s">
        <v>17</v>
      </c>
      <c r="L192" s="199" t="s">
        <v>153</v>
      </c>
      <c r="M192" s="214" t="s">
        <v>5</v>
      </c>
      <c r="N192" s="199" t="s">
        <v>155</v>
      </c>
      <c r="O192" s="199" t="s">
        <v>92</v>
      </c>
      <c r="P192" s="199" t="s">
        <v>116</v>
      </c>
      <c r="Q192" s="199" t="s">
        <v>157</v>
      </c>
      <c r="R192" s="199" t="s">
        <v>146</v>
      </c>
      <c r="S192" s="199" t="s">
        <v>397</v>
      </c>
      <c r="AE192" s="229"/>
      <c r="AW192" s="199" t="s">
        <v>8</v>
      </c>
      <c r="AX192" s="199" t="s">
        <v>65</v>
      </c>
      <c r="AY192" s="199" t="s">
        <v>147</v>
      </c>
      <c r="AZ192" s="199" t="s">
        <v>162</v>
      </c>
      <c r="BA192" s="214" t="s">
        <v>224</v>
      </c>
    </row>
    <row r="193" spans="1:53" ht="14.45" customHeight="1" x14ac:dyDescent="0.25">
      <c r="A193" s="119"/>
      <c r="B193" s="119"/>
      <c r="C193" s="126"/>
      <c r="D193" s="126"/>
      <c r="E193" s="126"/>
      <c r="F193" s="10">
        <f t="shared" ref="F193:F207" si="54">J193</f>
        <v>0</v>
      </c>
      <c r="G193" s="122"/>
      <c r="H193" s="119"/>
      <c r="I193" s="77">
        <f t="shared" ref="I193:I207" si="55">K193*L193</f>
        <v>0</v>
      </c>
      <c r="J193" s="77">
        <f t="shared" ref="J193:J207" si="56">M193*K193</f>
        <v>0</v>
      </c>
      <c r="K193" s="126"/>
      <c r="L193" s="126"/>
      <c r="M193" s="126"/>
      <c r="N193" s="282">
        <f>IF(B193="USD",I193,(((_xll.BDP(B193&amp;"USD CURNCY","PX_LAST")))*I193))</f>
        <v>0</v>
      </c>
      <c r="O193" s="77">
        <f>IF(B193="USD",J193,(((_xll.BDP(B193&amp;"USD CURNCY","PX_LAST")))*J193))</f>
        <v>0</v>
      </c>
      <c r="P193" s="146">
        <f>O193-N193</f>
        <v>0</v>
      </c>
      <c r="Q193" s="146">
        <f>IFERROR(P193/N193,0)</f>
        <v>0</v>
      </c>
      <c r="R193" s="237">
        <f t="shared" ref="R193:R207" si="57">IFERROR(O193/$D$49,0)</f>
        <v>0</v>
      </c>
      <c r="S193" s="137"/>
      <c r="AE193" s="229"/>
      <c r="AW193" s="282">
        <f>H193</f>
        <v>0</v>
      </c>
      <c r="AX193" s="121">
        <v>0</v>
      </c>
      <c r="AY193" s="119">
        <v>5</v>
      </c>
      <c r="AZ193" s="137"/>
      <c r="BA193" s="118">
        <v>1.0000000004370222</v>
      </c>
    </row>
    <row r="194" spans="1:53" ht="14.45" customHeight="1" x14ac:dyDescent="0.25">
      <c r="A194" s="119"/>
      <c r="B194" s="119"/>
      <c r="C194" s="126"/>
      <c r="D194" s="126"/>
      <c r="E194" s="126"/>
      <c r="F194" s="10">
        <f t="shared" si="54"/>
        <v>0</v>
      </c>
      <c r="G194" s="122"/>
      <c r="H194" s="119"/>
      <c r="I194" s="77">
        <f t="shared" si="55"/>
        <v>0</v>
      </c>
      <c r="J194" s="77">
        <f t="shared" si="56"/>
        <v>0</v>
      </c>
      <c r="K194" s="126"/>
      <c r="L194" s="126"/>
      <c r="M194" s="126"/>
      <c r="N194" s="282">
        <f>IF(B194="USD",I194,(((_xll.BDP(B194&amp;"USD CURNCY","PX_LAST")))*I194))</f>
        <v>0</v>
      </c>
      <c r="O194" s="77">
        <f>IF(B194="USD",J194,(((_xll.BDP(B194&amp;"USD CURNCY","PX_LAST")))*J194))</f>
        <v>0</v>
      </c>
      <c r="P194" s="146">
        <f t="shared" ref="P194:P207" si="58">O194-N194</f>
        <v>0</v>
      </c>
      <c r="Q194" s="146">
        <f t="shared" ref="Q194:Q207" si="59">IFERROR(P194/N194,0)</f>
        <v>0</v>
      </c>
      <c r="R194" s="237">
        <f t="shared" si="57"/>
        <v>0</v>
      </c>
      <c r="S194" s="137"/>
      <c r="AE194" s="229"/>
      <c r="AW194" s="282">
        <f t="shared" ref="AW194:AW207" si="60">H194</f>
        <v>0</v>
      </c>
      <c r="AX194" s="121">
        <v>0</v>
      </c>
      <c r="AY194" s="119">
        <v>5</v>
      </c>
      <c r="AZ194" s="137"/>
      <c r="BA194" s="118">
        <v>1.0000000004370222</v>
      </c>
    </row>
    <row r="195" spans="1:53" ht="14.45" customHeight="1" x14ac:dyDescent="0.25">
      <c r="A195" s="119"/>
      <c r="B195" s="119"/>
      <c r="C195" s="126"/>
      <c r="D195" s="126"/>
      <c r="E195" s="126"/>
      <c r="F195" s="10">
        <f t="shared" si="54"/>
        <v>0</v>
      </c>
      <c r="G195" s="122"/>
      <c r="H195" s="119"/>
      <c r="I195" s="77">
        <f t="shared" si="55"/>
        <v>0</v>
      </c>
      <c r="J195" s="77">
        <f t="shared" si="56"/>
        <v>0</v>
      </c>
      <c r="K195" s="126"/>
      <c r="L195" s="126"/>
      <c r="M195" s="126"/>
      <c r="N195" s="282">
        <f>IF(B195="USD",I195,(((_xll.BDP(B195&amp;"USD CURNCY","PX_LAST")))*I195))</f>
        <v>0</v>
      </c>
      <c r="O195" s="77">
        <f>IF(B195="USD",J195,(((_xll.BDP(B195&amp;"USD CURNCY","PX_LAST")))*J195))</f>
        <v>0</v>
      </c>
      <c r="P195" s="146">
        <f t="shared" si="58"/>
        <v>0</v>
      </c>
      <c r="Q195" s="146">
        <f t="shared" si="59"/>
        <v>0</v>
      </c>
      <c r="R195" s="237">
        <f t="shared" si="57"/>
        <v>0</v>
      </c>
      <c r="S195" s="137"/>
      <c r="AE195" s="229"/>
      <c r="AW195" s="282">
        <f t="shared" si="60"/>
        <v>0</v>
      </c>
      <c r="AX195" s="121">
        <v>0</v>
      </c>
      <c r="AY195" s="119">
        <v>5</v>
      </c>
      <c r="AZ195" s="137"/>
      <c r="BA195" s="118">
        <v>1.0000000004370222</v>
      </c>
    </row>
    <row r="196" spans="1:53" ht="14.45" customHeight="1" x14ac:dyDescent="0.25">
      <c r="A196" s="119"/>
      <c r="B196" s="119"/>
      <c r="C196" s="126"/>
      <c r="D196" s="126"/>
      <c r="E196" s="126"/>
      <c r="F196" s="10">
        <f t="shared" si="54"/>
        <v>0</v>
      </c>
      <c r="G196" s="122"/>
      <c r="H196" s="119"/>
      <c r="I196" s="77">
        <f t="shared" si="55"/>
        <v>0</v>
      </c>
      <c r="J196" s="77">
        <f t="shared" si="56"/>
        <v>0</v>
      </c>
      <c r="K196" s="126"/>
      <c r="L196" s="126"/>
      <c r="M196" s="126"/>
      <c r="N196" s="282">
        <f>IF(B196="USD",I196,(((_xll.BDP(B196&amp;"USD CURNCY","PX_LAST")))*I196))</f>
        <v>0</v>
      </c>
      <c r="O196" s="77">
        <f>IF(B196="USD",J196,(((_xll.BDP(B196&amp;"USD CURNCY","PX_LAST")))*J196))</f>
        <v>0</v>
      </c>
      <c r="P196" s="146">
        <f t="shared" si="58"/>
        <v>0</v>
      </c>
      <c r="Q196" s="146">
        <f t="shared" si="59"/>
        <v>0</v>
      </c>
      <c r="R196" s="237">
        <f t="shared" si="57"/>
        <v>0</v>
      </c>
      <c r="S196" s="137"/>
      <c r="AE196" s="229"/>
      <c r="AW196" s="282">
        <f t="shared" si="60"/>
        <v>0</v>
      </c>
      <c r="AX196" s="121">
        <v>0</v>
      </c>
      <c r="AY196" s="119">
        <v>5</v>
      </c>
      <c r="AZ196" s="137"/>
      <c r="BA196" s="118">
        <v>1.0000000004370222</v>
      </c>
    </row>
    <row r="197" spans="1:53" ht="14.45" customHeight="1" x14ac:dyDescent="0.25">
      <c r="A197" s="119"/>
      <c r="B197" s="119"/>
      <c r="C197" s="126"/>
      <c r="D197" s="126"/>
      <c r="E197" s="126"/>
      <c r="F197" s="10">
        <f t="shared" si="54"/>
        <v>0</v>
      </c>
      <c r="G197" s="122"/>
      <c r="H197" s="119"/>
      <c r="I197" s="77">
        <f t="shared" si="55"/>
        <v>0</v>
      </c>
      <c r="J197" s="77">
        <f t="shared" si="56"/>
        <v>0</v>
      </c>
      <c r="K197" s="126"/>
      <c r="L197" s="126"/>
      <c r="M197" s="126"/>
      <c r="N197" s="282">
        <f>IF(B197="USD",I197,(((_xll.BDP(B197&amp;"USD CURNCY","PX_LAST")))*I197))</f>
        <v>0</v>
      </c>
      <c r="O197" s="77">
        <f>IF(B197="USD",J197,(((_xll.BDP(B197&amp;"USD CURNCY","PX_LAST")))*J197))</f>
        <v>0</v>
      </c>
      <c r="P197" s="146">
        <f t="shared" si="58"/>
        <v>0</v>
      </c>
      <c r="Q197" s="146">
        <f t="shared" si="59"/>
        <v>0</v>
      </c>
      <c r="R197" s="237">
        <f t="shared" si="57"/>
        <v>0</v>
      </c>
      <c r="S197" s="137"/>
      <c r="AE197" s="229"/>
      <c r="AW197" s="282">
        <f t="shared" si="60"/>
        <v>0</v>
      </c>
      <c r="AX197" s="121">
        <v>0</v>
      </c>
      <c r="AY197" s="119">
        <v>5</v>
      </c>
      <c r="AZ197" s="137"/>
      <c r="BA197" s="118">
        <v>1.0000000004370222</v>
      </c>
    </row>
    <row r="198" spans="1:53" ht="14.45" customHeight="1" x14ac:dyDescent="0.25">
      <c r="A198" s="119"/>
      <c r="B198" s="119"/>
      <c r="C198" s="126"/>
      <c r="D198" s="126"/>
      <c r="E198" s="126"/>
      <c r="F198" s="10">
        <f t="shared" si="54"/>
        <v>0</v>
      </c>
      <c r="G198" s="122"/>
      <c r="H198" s="119"/>
      <c r="I198" s="77">
        <f t="shared" si="55"/>
        <v>0</v>
      </c>
      <c r="J198" s="77">
        <f t="shared" si="56"/>
        <v>0</v>
      </c>
      <c r="K198" s="126"/>
      <c r="L198" s="126"/>
      <c r="M198" s="126"/>
      <c r="N198" s="282">
        <f>IF(B198="USD",I198,(((_xll.BDP(B198&amp;"USD CURNCY","PX_LAST")))*I198))</f>
        <v>0</v>
      </c>
      <c r="O198" s="77">
        <f>IF(B198="USD",J198,(((_xll.BDP(B198&amp;"USD CURNCY","PX_LAST")))*J198))</f>
        <v>0</v>
      </c>
      <c r="P198" s="146">
        <f t="shared" si="58"/>
        <v>0</v>
      </c>
      <c r="Q198" s="146">
        <f t="shared" si="59"/>
        <v>0</v>
      </c>
      <c r="R198" s="237">
        <f t="shared" si="57"/>
        <v>0</v>
      </c>
      <c r="S198" s="137"/>
      <c r="AE198" s="229"/>
      <c r="AW198" s="282">
        <f t="shared" si="60"/>
        <v>0</v>
      </c>
      <c r="AX198" s="121">
        <v>0</v>
      </c>
      <c r="AY198" s="119">
        <v>5</v>
      </c>
      <c r="AZ198" s="137"/>
      <c r="BA198" s="118">
        <v>1.0000000004370222</v>
      </c>
    </row>
    <row r="199" spans="1:53" ht="14.45" customHeight="1" x14ac:dyDescent="0.25">
      <c r="A199" s="119"/>
      <c r="B199" s="119"/>
      <c r="C199" s="126"/>
      <c r="D199" s="126"/>
      <c r="E199" s="126"/>
      <c r="F199" s="10">
        <f t="shared" si="54"/>
        <v>0</v>
      </c>
      <c r="G199" s="122"/>
      <c r="H199" s="119"/>
      <c r="I199" s="77">
        <f t="shared" si="55"/>
        <v>0</v>
      </c>
      <c r="J199" s="77">
        <f t="shared" si="56"/>
        <v>0</v>
      </c>
      <c r="K199" s="126"/>
      <c r="L199" s="126"/>
      <c r="M199" s="126"/>
      <c r="N199" s="282">
        <f>IF(B199="USD",I199,(((_xll.BDP(B199&amp;"USD CURNCY","PX_LAST")))*I199))</f>
        <v>0</v>
      </c>
      <c r="O199" s="77">
        <f>IF(B199="USD",J199,(((_xll.BDP(B199&amp;"USD CURNCY","PX_LAST")))*J199))</f>
        <v>0</v>
      </c>
      <c r="P199" s="146">
        <f t="shared" si="58"/>
        <v>0</v>
      </c>
      <c r="Q199" s="146">
        <f t="shared" si="59"/>
        <v>0</v>
      </c>
      <c r="R199" s="237">
        <f t="shared" si="57"/>
        <v>0</v>
      </c>
      <c r="S199" s="137"/>
      <c r="AE199" s="229"/>
      <c r="AW199" s="282">
        <f t="shared" si="60"/>
        <v>0</v>
      </c>
      <c r="AX199" s="121">
        <v>0</v>
      </c>
      <c r="AY199" s="119">
        <v>5</v>
      </c>
      <c r="AZ199" s="137"/>
      <c r="BA199" s="118">
        <v>1.0000000004370222</v>
      </c>
    </row>
    <row r="200" spans="1:53" ht="14.45" customHeight="1" x14ac:dyDescent="0.25">
      <c r="A200" s="119"/>
      <c r="B200" s="119"/>
      <c r="C200" s="126"/>
      <c r="D200" s="126"/>
      <c r="E200" s="126"/>
      <c r="F200" s="10">
        <f t="shared" si="54"/>
        <v>0</v>
      </c>
      <c r="G200" s="122"/>
      <c r="H200" s="119"/>
      <c r="I200" s="77">
        <f t="shared" si="55"/>
        <v>0</v>
      </c>
      <c r="J200" s="77">
        <f t="shared" si="56"/>
        <v>0</v>
      </c>
      <c r="K200" s="126"/>
      <c r="L200" s="126"/>
      <c r="M200" s="126"/>
      <c r="N200" s="282">
        <f>IF(B200="USD",I200,(((_xll.BDP(B200&amp;"USD CURNCY","PX_LAST")))*I200))</f>
        <v>0</v>
      </c>
      <c r="O200" s="77">
        <f>IF(B200="USD",J200,(((_xll.BDP(B200&amp;"USD CURNCY","PX_LAST")))*J200))</f>
        <v>0</v>
      </c>
      <c r="P200" s="146">
        <f t="shared" si="58"/>
        <v>0</v>
      </c>
      <c r="Q200" s="146">
        <f t="shared" si="59"/>
        <v>0</v>
      </c>
      <c r="R200" s="237">
        <f t="shared" si="57"/>
        <v>0</v>
      </c>
      <c r="S200" s="137"/>
      <c r="AE200" s="229"/>
      <c r="AW200" s="282">
        <f t="shared" si="60"/>
        <v>0</v>
      </c>
      <c r="AX200" s="121">
        <v>0</v>
      </c>
      <c r="AY200" s="119">
        <v>5</v>
      </c>
      <c r="AZ200" s="137"/>
      <c r="BA200" s="118">
        <v>1.0000000004370222</v>
      </c>
    </row>
    <row r="201" spans="1:53" ht="14.45" customHeight="1" x14ac:dyDescent="0.25">
      <c r="A201" s="119"/>
      <c r="B201" s="119"/>
      <c r="C201" s="126"/>
      <c r="D201" s="126"/>
      <c r="E201" s="126"/>
      <c r="F201" s="10">
        <f t="shared" si="54"/>
        <v>0</v>
      </c>
      <c r="G201" s="122"/>
      <c r="H201" s="119"/>
      <c r="I201" s="77">
        <f t="shared" si="55"/>
        <v>0</v>
      </c>
      <c r="J201" s="77">
        <f t="shared" si="56"/>
        <v>0</v>
      </c>
      <c r="K201" s="126"/>
      <c r="L201" s="126"/>
      <c r="M201" s="126"/>
      <c r="N201" s="282">
        <f>IF(B201="USD",I201,(((_xll.BDP(B201&amp;"USD CURNCY","PX_LAST")))*I201))</f>
        <v>0</v>
      </c>
      <c r="O201" s="77">
        <f>IF(B201="USD",J201,(((_xll.BDP(B201&amp;"USD CURNCY","PX_LAST")))*J201))</f>
        <v>0</v>
      </c>
      <c r="P201" s="146">
        <f t="shared" si="58"/>
        <v>0</v>
      </c>
      <c r="Q201" s="146">
        <f t="shared" si="59"/>
        <v>0</v>
      </c>
      <c r="R201" s="237">
        <f t="shared" si="57"/>
        <v>0</v>
      </c>
      <c r="S201" s="137"/>
      <c r="AE201" s="229"/>
      <c r="AW201" s="282">
        <f t="shared" si="60"/>
        <v>0</v>
      </c>
      <c r="AX201" s="121">
        <v>0</v>
      </c>
      <c r="AY201" s="119">
        <v>5</v>
      </c>
      <c r="AZ201" s="137"/>
      <c r="BA201" s="118">
        <v>1.0000000004370222</v>
      </c>
    </row>
    <row r="202" spans="1:53" ht="14.45" customHeight="1" x14ac:dyDescent="0.25">
      <c r="A202" s="119"/>
      <c r="B202" s="119"/>
      <c r="C202" s="126"/>
      <c r="D202" s="126"/>
      <c r="E202" s="126"/>
      <c r="F202" s="10">
        <f t="shared" si="54"/>
        <v>0</v>
      </c>
      <c r="G202" s="122"/>
      <c r="H202" s="119"/>
      <c r="I202" s="77">
        <f t="shared" si="55"/>
        <v>0</v>
      </c>
      <c r="J202" s="77">
        <f t="shared" si="56"/>
        <v>0</v>
      </c>
      <c r="K202" s="126"/>
      <c r="L202" s="126"/>
      <c r="M202" s="126"/>
      <c r="N202" s="282">
        <f>IF(B202="USD",I202,(((_xll.BDP(B202&amp;"USD CURNCY","PX_LAST")))*I202))</f>
        <v>0</v>
      </c>
      <c r="O202" s="77">
        <f>IF(B202="USD",J202,(((_xll.BDP(B202&amp;"USD CURNCY","PX_LAST")))*J202))</f>
        <v>0</v>
      </c>
      <c r="P202" s="146">
        <f t="shared" si="58"/>
        <v>0</v>
      </c>
      <c r="Q202" s="146">
        <f t="shared" si="59"/>
        <v>0</v>
      </c>
      <c r="R202" s="237">
        <f t="shared" si="57"/>
        <v>0</v>
      </c>
      <c r="S202" s="137"/>
      <c r="AE202" s="229"/>
      <c r="AW202" s="282">
        <f t="shared" si="60"/>
        <v>0</v>
      </c>
      <c r="AX202" s="121">
        <v>0</v>
      </c>
      <c r="AY202" s="119">
        <v>5</v>
      </c>
      <c r="AZ202" s="137"/>
      <c r="BA202" s="118">
        <v>1.0000000004370222</v>
      </c>
    </row>
    <row r="203" spans="1:53" ht="14.45" customHeight="1" x14ac:dyDescent="0.25">
      <c r="A203" s="119"/>
      <c r="B203" s="119"/>
      <c r="C203" s="126"/>
      <c r="D203" s="126"/>
      <c r="E203" s="126"/>
      <c r="F203" s="10">
        <f t="shared" si="54"/>
        <v>0</v>
      </c>
      <c r="G203" s="122"/>
      <c r="H203" s="119"/>
      <c r="I203" s="77">
        <f t="shared" si="55"/>
        <v>0</v>
      </c>
      <c r="J203" s="77">
        <f t="shared" si="56"/>
        <v>0</v>
      </c>
      <c r="K203" s="126"/>
      <c r="L203" s="126"/>
      <c r="M203" s="126"/>
      <c r="N203" s="282">
        <f>IF(B203="USD",I203,(((_xll.BDP(B203&amp;"USD CURNCY","PX_LAST")))*I203))</f>
        <v>0</v>
      </c>
      <c r="O203" s="77">
        <f>IF(B203="USD",J203,(((_xll.BDP(B203&amp;"USD CURNCY","PX_LAST")))*J203))</f>
        <v>0</v>
      </c>
      <c r="P203" s="146">
        <f t="shared" si="58"/>
        <v>0</v>
      </c>
      <c r="Q203" s="146">
        <f t="shared" si="59"/>
        <v>0</v>
      </c>
      <c r="R203" s="237">
        <f t="shared" si="57"/>
        <v>0</v>
      </c>
      <c r="S203" s="137"/>
      <c r="AE203" s="229"/>
      <c r="AW203" s="282">
        <f t="shared" si="60"/>
        <v>0</v>
      </c>
      <c r="AX203" s="121">
        <v>0</v>
      </c>
      <c r="AY203" s="119">
        <v>5</v>
      </c>
      <c r="AZ203" s="137"/>
      <c r="BA203" s="118">
        <v>1.0000000004370222</v>
      </c>
    </row>
    <row r="204" spans="1:53" ht="14.45" customHeight="1" x14ac:dyDescent="0.25">
      <c r="A204" s="119"/>
      <c r="B204" s="119"/>
      <c r="C204" s="126"/>
      <c r="D204" s="126"/>
      <c r="E204" s="126"/>
      <c r="F204" s="10">
        <f t="shared" si="54"/>
        <v>0</v>
      </c>
      <c r="G204" s="122"/>
      <c r="H204" s="119"/>
      <c r="I204" s="77">
        <f t="shared" si="55"/>
        <v>0</v>
      </c>
      <c r="J204" s="77">
        <f t="shared" si="56"/>
        <v>0</v>
      </c>
      <c r="K204" s="126"/>
      <c r="L204" s="126"/>
      <c r="M204" s="126"/>
      <c r="N204" s="282">
        <f>IF(B204="USD",I204,(((_xll.BDP(B204&amp;"USD CURNCY","PX_LAST")))*I204))</f>
        <v>0</v>
      </c>
      <c r="O204" s="77">
        <f>IF(B204="USD",J204,(((_xll.BDP(B204&amp;"USD CURNCY","PX_LAST")))*J204))</f>
        <v>0</v>
      </c>
      <c r="P204" s="146">
        <f t="shared" si="58"/>
        <v>0</v>
      </c>
      <c r="Q204" s="146">
        <f t="shared" si="59"/>
        <v>0</v>
      </c>
      <c r="R204" s="237">
        <f t="shared" si="57"/>
        <v>0</v>
      </c>
      <c r="S204" s="137"/>
      <c r="AE204" s="229"/>
      <c r="AW204" s="282">
        <f t="shared" si="60"/>
        <v>0</v>
      </c>
      <c r="AX204" s="121">
        <v>0</v>
      </c>
      <c r="AY204" s="119">
        <v>5</v>
      </c>
      <c r="AZ204" s="137"/>
      <c r="BA204" s="118">
        <v>1.0000000004370222</v>
      </c>
    </row>
    <row r="205" spans="1:53" ht="14.45" customHeight="1" x14ac:dyDescent="0.25">
      <c r="A205" s="119"/>
      <c r="B205" s="119"/>
      <c r="C205" s="126"/>
      <c r="D205" s="126"/>
      <c r="E205" s="126"/>
      <c r="F205" s="10">
        <f t="shared" si="54"/>
        <v>0</v>
      </c>
      <c r="G205" s="122"/>
      <c r="H205" s="119"/>
      <c r="I205" s="77">
        <f t="shared" si="55"/>
        <v>0</v>
      </c>
      <c r="J205" s="77">
        <f t="shared" si="56"/>
        <v>0</v>
      </c>
      <c r="K205" s="126"/>
      <c r="L205" s="126"/>
      <c r="M205" s="126"/>
      <c r="N205" s="282">
        <f>IF(B205="USD",I205,(((_xll.BDP(B205&amp;"USD CURNCY","PX_LAST")))*I205))</f>
        <v>0</v>
      </c>
      <c r="O205" s="77">
        <f>IF(B205="USD",J205,(((_xll.BDP(B205&amp;"USD CURNCY","PX_LAST")))*J205))</f>
        <v>0</v>
      </c>
      <c r="P205" s="146">
        <f t="shared" si="58"/>
        <v>0</v>
      </c>
      <c r="Q205" s="146">
        <f t="shared" si="59"/>
        <v>0</v>
      </c>
      <c r="R205" s="237">
        <f t="shared" si="57"/>
        <v>0</v>
      </c>
      <c r="S205" s="137"/>
      <c r="AE205" s="229"/>
      <c r="AW205" s="282">
        <f t="shared" si="60"/>
        <v>0</v>
      </c>
      <c r="AX205" s="121">
        <v>0</v>
      </c>
      <c r="AY205" s="119">
        <v>5</v>
      </c>
      <c r="AZ205" s="137"/>
      <c r="BA205" s="118">
        <v>1.0000000004370222</v>
      </c>
    </row>
    <row r="206" spans="1:53" ht="14.45" customHeight="1" x14ac:dyDescent="0.25">
      <c r="A206" s="119"/>
      <c r="B206" s="119"/>
      <c r="C206" s="126"/>
      <c r="D206" s="126"/>
      <c r="E206" s="126"/>
      <c r="F206" s="10">
        <f t="shared" si="54"/>
        <v>0</v>
      </c>
      <c r="G206" s="122"/>
      <c r="H206" s="119"/>
      <c r="I206" s="77">
        <f t="shared" si="55"/>
        <v>0</v>
      </c>
      <c r="J206" s="77">
        <f t="shared" si="56"/>
        <v>0</v>
      </c>
      <c r="K206" s="126"/>
      <c r="L206" s="126"/>
      <c r="M206" s="126"/>
      <c r="N206" s="282">
        <f>IF(B206="USD",I206,(((_xll.BDP(B206&amp;"USD CURNCY","PX_LAST")))*I206))</f>
        <v>0</v>
      </c>
      <c r="O206" s="77">
        <f>IF(B206="USD",J206,(((_xll.BDP(B206&amp;"USD CURNCY","PX_LAST")))*J206))</f>
        <v>0</v>
      </c>
      <c r="P206" s="146">
        <f t="shared" si="58"/>
        <v>0</v>
      </c>
      <c r="Q206" s="146">
        <f t="shared" si="59"/>
        <v>0</v>
      </c>
      <c r="R206" s="237">
        <f t="shared" si="57"/>
        <v>0</v>
      </c>
      <c r="S206" s="137"/>
      <c r="AE206" s="229"/>
      <c r="AW206" s="282">
        <f t="shared" si="60"/>
        <v>0</v>
      </c>
      <c r="AX206" s="121">
        <v>0</v>
      </c>
      <c r="AY206" s="119">
        <v>5</v>
      </c>
      <c r="AZ206" s="137"/>
      <c r="BA206" s="118">
        <v>1.0000000004370222</v>
      </c>
    </row>
    <row r="207" spans="1:53" ht="14.45" customHeight="1" x14ac:dyDescent="0.25">
      <c r="A207" s="119"/>
      <c r="B207" s="119"/>
      <c r="C207" s="127"/>
      <c r="D207" s="127"/>
      <c r="E207" s="127"/>
      <c r="F207" s="10">
        <f t="shared" si="54"/>
        <v>0</v>
      </c>
      <c r="G207" s="122"/>
      <c r="H207" s="119"/>
      <c r="I207" s="77">
        <f t="shared" si="55"/>
        <v>0</v>
      </c>
      <c r="J207" s="77">
        <f t="shared" si="56"/>
        <v>0</v>
      </c>
      <c r="K207" s="127"/>
      <c r="L207" s="127"/>
      <c r="M207" s="127"/>
      <c r="N207" s="282">
        <f>IF(B207="USD",I207,(((_xll.BDP(B207&amp;"USD CURNCY","PX_LAST")))*I207))</f>
        <v>0</v>
      </c>
      <c r="O207" s="77">
        <f>IF(B207="USD",J207,(((_xll.BDP(B207&amp;"USD CURNCY","PX_LAST")))*J207))</f>
        <v>0</v>
      </c>
      <c r="P207" s="146">
        <f t="shared" si="58"/>
        <v>0</v>
      </c>
      <c r="Q207" s="146">
        <f t="shared" si="59"/>
        <v>0</v>
      </c>
      <c r="R207" s="237">
        <f t="shared" si="57"/>
        <v>0</v>
      </c>
      <c r="S207" s="137"/>
      <c r="AE207" s="229"/>
      <c r="AW207" s="282">
        <f t="shared" si="60"/>
        <v>0</v>
      </c>
      <c r="AX207" s="121">
        <v>0</v>
      </c>
      <c r="AY207" s="119">
        <v>5</v>
      </c>
      <c r="AZ207" s="137"/>
      <c r="BA207" s="118">
        <v>1.0000000004370222</v>
      </c>
    </row>
    <row r="208" spans="1:53" ht="14.45" customHeight="1" thickBot="1" x14ac:dyDescent="0.3">
      <c r="A208" s="48"/>
      <c r="B208" s="48"/>
      <c r="C208" s="54"/>
      <c r="D208" s="54"/>
      <c r="E208" s="54"/>
      <c r="F208" s="53">
        <f>SUM(F193:F207)</f>
        <v>0</v>
      </c>
      <c r="G208" s="239">
        <f>IFERROR(SUMPRODUCT(G193:G207,O193:O207)/O208,0)</f>
        <v>0</v>
      </c>
      <c r="H208" s="89"/>
      <c r="I208" s="53">
        <f>SUM(I193:I207)</f>
        <v>0</v>
      </c>
      <c r="J208" s="53">
        <f>SUM(J193:J207)</f>
        <v>0</v>
      </c>
      <c r="K208" s="54"/>
      <c r="L208" s="54"/>
      <c r="M208" s="53"/>
      <c r="N208" s="53">
        <f t="shared" ref="N208" si="61">SUM(N193:N207)</f>
        <v>0</v>
      </c>
      <c r="O208" s="53">
        <f>SUM(O193:O207)</f>
        <v>0</v>
      </c>
      <c r="P208" s="221">
        <f t="shared" ref="P208" si="62">SUM(P193:P207)</f>
        <v>0</v>
      </c>
      <c r="Q208" s="221" cm="1">
        <f t="array" ref="Q208">IFERROR(SUMPRODUCT(N193:N207,Q193:Q207/N208),0)</f>
        <v>0</v>
      </c>
      <c r="R208" s="239">
        <f>SUM(R193:R207)</f>
        <v>0</v>
      </c>
      <c r="S208" s="89"/>
      <c r="AE208" s="229"/>
      <c r="AW208" s="93"/>
      <c r="AX208" s="93">
        <f>IFERROR(SUMPRODUCT(AX193:AX207,J193:J207)/J208,0)</f>
        <v>0</v>
      </c>
      <c r="AY208" s="90">
        <f>IFERROR(SUMPRODUCT(AY193:AY207,O193:O207)/O208,0)</f>
        <v>0</v>
      </c>
      <c r="AZ208" s="90"/>
      <c r="BA208" s="70"/>
    </row>
    <row r="209" spans="1:53" ht="14.45" customHeight="1" thickTop="1" x14ac:dyDescent="0.25"/>
    <row r="211" spans="1:53" ht="14.45" customHeight="1" x14ac:dyDescent="0.25">
      <c r="A211" s="134" t="s">
        <v>10</v>
      </c>
      <c r="B211" s="134"/>
      <c r="C211" s="134"/>
      <c r="D211" s="134"/>
      <c r="E211" s="134"/>
      <c r="F211" s="134"/>
      <c r="G211" s="134"/>
      <c r="H211" s="134"/>
      <c r="I211" s="134"/>
      <c r="J211" s="134"/>
      <c r="K211" s="134"/>
      <c r="L211" s="134"/>
      <c r="M211" s="134"/>
      <c r="N211" s="134"/>
      <c r="O211" s="229"/>
      <c r="P211" s="229"/>
      <c r="Q211" s="229"/>
      <c r="R211" s="229"/>
    </row>
    <row r="212" spans="1:53" ht="30.75" customHeight="1" x14ac:dyDescent="0.25">
      <c r="A212" s="199" t="s">
        <v>4</v>
      </c>
      <c r="B212" s="199" t="s">
        <v>54</v>
      </c>
      <c r="C212" s="199" t="s">
        <v>6</v>
      </c>
      <c r="D212" s="199" t="s">
        <v>17</v>
      </c>
      <c r="E212" s="199" t="s">
        <v>153</v>
      </c>
      <c r="F212" s="214" t="s">
        <v>5</v>
      </c>
      <c r="G212" s="199" t="s">
        <v>155</v>
      </c>
      <c r="H212" s="199" t="s">
        <v>92</v>
      </c>
      <c r="I212" s="199" t="s">
        <v>116</v>
      </c>
      <c r="J212" s="199" t="s">
        <v>146</v>
      </c>
      <c r="K212" s="214" t="s">
        <v>173</v>
      </c>
      <c r="L212" s="214" t="s">
        <v>56</v>
      </c>
      <c r="M212" s="199" t="s">
        <v>24</v>
      </c>
      <c r="N212" s="199" t="s">
        <v>18</v>
      </c>
      <c r="O212" s="229"/>
      <c r="AA212" s="229"/>
      <c r="AF212" s="229"/>
      <c r="AW212"/>
      <c r="AX212" s="199" t="s">
        <v>65</v>
      </c>
      <c r="AY212" s="199" t="s">
        <v>147</v>
      </c>
      <c r="AZ212" s="199" t="s">
        <v>162</v>
      </c>
      <c r="BA212" s="214" t="s">
        <v>224</v>
      </c>
    </row>
    <row r="213" spans="1:53" ht="14.45" customHeight="1" x14ac:dyDescent="0.25">
      <c r="A213" s="8" t="s">
        <v>291</v>
      </c>
      <c r="B213" s="8" t="str">
        <f>_xll.BDP(C213, "CRNCY")</f>
        <v>XAU</v>
      </c>
      <c r="C213" s="129" t="s">
        <v>80</v>
      </c>
      <c r="D213" s="126"/>
      <c r="E213" s="126"/>
      <c r="F213" s="9">
        <f>IF(B213="GBP",(_xll.BDP(#REF!,"PX_LAST")/100),(_xll.BDP(C213, "PX_LAST")))</f>
        <v>3457.16</v>
      </c>
      <c r="G213" s="9">
        <f>D213*E213*(100%+0%)</f>
        <v>0</v>
      </c>
      <c r="H213" s="9">
        <f>D213*F213*(100%+0%)</f>
        <v>0</v>
      </c>
      <c r="I213" s="146">
        <f>H213-G213</f>
        <v>0</v>
      </c>
      <c r="J213" s="237">
        <f>IFERROR(H213/$D$49,0)</f>
        <v>0</v>
      </c>
      <c r="K213" s="237">
        <f>IFERROR(I213/G213,0)</f>
        <v>0</v>
      </c>
      <c r="L213" s="42"/>
      <c r="M213" s="10">
        <f>H213</f>
        <v>0</v>
      </c>
      <c r="N213" s="10">
        <f>D213*F213</f>
        <v>0</v>
      </c>
      <c r="O213" s="229"/>
      <c r="AA213" s="229"/>
      <c r="AF213" s="229"/>
      <c r="AW213"/>
      <c r="AX213" s="122">
        <v>0.82</v>
      </c>
      <c r="AY213" s="119">
        <v>5</v>
      </c>
      <c r="AZ213" s="137"/>
      <c r="BA213" s="118">
        <v>1.0000000004370222</v>
      </c>
    </row>
    <row r="214" spans="1:53" ht="14.45" customHeight="1" thickBot="1" x14ac:dyDescent="0.3">
      <c r="A214" s="48"/>
      <c r="B214" s="48"/>
      <c r="C214" s="48"/>
      <c r="D214" s="54"/>
      <c r="E214" s="54"/>
      <c r="F214" s="48"/>
      <c r="G214" s="94">
        <f>SUM(G213:G213)</f>
        <v>0</v>
      </c>
      <c r="H214" s="94">
        <f>SUM(H213:H213)</f>
        <v>0</v>
      </c>
      <c r="I214" s="221">
        <f>SUM(I213:I213)</f>
        <v>0</v>
      </c>
      <c r="J214" s="239">
        <f>SUM(J213:J213)</f>
        <v>0</v>
      </c>
      <c r="K214" s="239">
        <f>IFERROR(SUMPRODUCT(K213:K213,G213:G213)/G214,0)</f>
        <v>0</v>
      </c>
      <c r="L214" s="239"/>
      <c r="M214" s="53">
        <f>SUM(M213:M213)</f>
        <v>0</v>
      </c>
      <c r="N214" s="49"/>
      <c r="O214" s="229"/>
      <c r="AA214" s="229"/>
      <c r="AF214" s="229"/>
      <c r="AW214"/>
      <c r="AX214" s="49">
        <f>IFERROR(SUMPRODUCT(AX213:AX213,H213:H213)/H214,0)</f>
        <v>0</v>
      </c>
      <c r="AY214" s="96">
        <f>IFERROR(SUMPRODUCT(AY213:AY213,H213:H213)/H214,0)</f>
        <v>0</v>
      </c>
      <c r="AZ214" s="96"/>
      <c r="BA214" s="96"/>
    </row>
    <row r="215" spans="1:53" ht="14.45" customHeight="1" thickTop="1" x14ac:dyDescent="0.25">
      <c r="A215" s="58"/>
      <c r="B215" s="58"/>
      <c r="C215" s="64"/>
      <c r="D215" s="64"/>
      <c r="E215" s="58"/>
      <c r="F215" s="72"/>
      <c r="G215" s="59"/>
      <c r="H215" s="60"/>
      <c r="I215" s="58"/>
      <c r="J215" s="64"/>
      <c r="K215" s="64"/>
      <c r="L215" s="64"/>
      <c r="M215" s="66"/>
      <c r="N215" s="66"/>
      <c r="O215" s="66"/>
      <c r="P215" s="66"/>
      <c r="Q215" s="66"/>
      <c r="R215" s="63"/>
      <c r="S215" s="74"/>
      <c r="T215" s="74"/>
      <c r="U215" s="58"/>
      <c r="V215" s="74"/>
      <c r="W215" s="64"/>
      <c r="X215" s="58"/>
      <c r="Y215" s="58"/>
      <c r="Z215" s="58"/>
      <c r="AA215" s="58"/>
      <c r="AB215" s="58"/>
      <c r="AC215" s="92"/>
      <c r="AF215" s="229"/>
    </row>
    <row r="217" spans="1:53" ht="14.45" customHeight="1" x14ac:dyDescent="0.25">
      <c r="A217" s="12" t="s">
        <v>298</v>
      </c>
      <c r="B217" s="12"/>
      <c r="C217" s="12"/>
      <c r="D217" s="12"/>
      <c r="E217" s="12"/>
      <c r="F217" s="12"/>
      <c r="G217" s="12"/>
      <c r="H217" s="12"/>
      <c r="I217" s="12"/>
      <c r="J217" s="12"/>
      <c r="K217" s="12"/>
      <c r="L217" s="12"/>
      <c r="M217" s="12"/>
      <c r="N217" s="12"/>
      <c r="O217" s="229"/>
      <c r="P217" s="229"/>
      <c r="Q217" s="229"/>
      <c r="R217" s="229"/>
    </row>
    <row r="218" spans="1:53" ht="40.5" x14ac:dyDescent="0.25">
      <c r="A218" s="199" t="s">
        <v>79</v>
      </c>
      <c r="B218" s="199" t="s">
        <v>54</v>
      </c>
      <c r="C218" s="199" t="s">
        <v>24</v>
      </c>
      <c r="D218" s="199" t="s">
        <v>307</v>
      </c>
      <c r="E218" s="214" t="s">
        <v>308</v>
      </c>
      <c r="F218" s="199" t="s">
        <v>303</v>
      </c>
      <c r="G218" s="199" t="s">
        <v>304</v>
      </c>
      <c r="H218" s="199" t="s">
        <v>305</v>
      </c>
      <c r="I218" s="214" t="s">
        <v>306</v>
      </c>
      <c r="J218" s="199" t="s">
        <v>299</v>
      </c>
      <c r="K218" s="199" t="s">
        <v>300</v>
      </c>
      <c r="L218" s="199" t="s">
        <v>302</v>
      </c>
      <c r="M218" s="199" t="s">
        <v>301</v>
      </c>
      <c r="N218" s="199" t="s">
        <v>116</v>
      </c>
      <c r="O218" s="229"/>
      <c r="P218" s="229"/>
      <c r="Q218" s="229"/>
      <c r="R218" s="229"/>
      <c r="S218" s="229"/>
      <c r="T218" s="229"/>
      <c r="U218" s="229"/>
      <c r="V218" s="229"/>
      <c r="W218" s="229"/>
      <c r="X218" s="229"/>
      <c r="Y218" s="229"/>
      <c r="Z218" s="229"/>
      <c r="AA218" s="229"/>
      <c r="AW218"/>
      <c r="AX218" s="199" t="s">
        <v>65</v>
      </c>
      <c r="AY218" s="199" t="s">
        <v>147</v>
      </c>
      <c r="AZ218" s="199" t="s">
        <v>162</v>
      </c>
      <c r="BA218" s="214" t="s">
        <v>224</v>
      </c>
    </row>
    <row r="219" spans="1:53" ht="14.45" customHeight="1" x14ac:dyDescent="0.25">
      <c r="A219" s="119" t="s">
        <v>309</v>
      </c>
      <c r="B219" s="119"/>
      <c r="C219" s="126"/>
      <c r="D219" s="126"/>
      <c r="E219" s="116"/>
      <c r="F219" s="124"/>
      <c r="G219" s="116"/>
      <c r="H219" s="117"/>
      <c r="I219" s="122"/>
      <c r="J219" s="129"/>
      <c r="K219" s="126"/>
      <c r="L219" s="130"/>
      <c r="M219" s="126"/>
      <c r="N219" s="200"/>
      <c r="O219" s="229"/>
      <c r="P219" s="229"/>
      <c r="Q219" s="229"/>
      <c r="R219" s="229"/>
      <c r="S219" s="229"/>
      <c r="T219" s="229"/>
      <c r="U219" s="229"/>
      <c r="V219" s="229"/>
      <c r="W219" s="229"/>
      <c r="X219" s="229"/>
      <c r="Y219" s="229"/>
      <c r="Z219" s="229"/>
      <c r="AA219" s="229"/>
      <c r="AW219"/>
      <c r="AX219" s="122"/>
      <c r="AY219" s="119">
        <v>5</v>
      </c>
      <c r="AZ219" s="137"/>
      <c r="BA219" s="118">
        <v>1.0000000004370222</v>
      </c>
    </row>
    <row r="220" spans="1:53" ht="14.45" customHeight="1" x14ac:dyDescent="0.25">
      <c r="A220" s="119" t="s">
        <v>310</v>
      </c>
      <c r="B220" s="119"/>
      <c r="C220" s="126"/>
      <c r="D220" s="126"/>
      <c r="E220" s="116"/>
      <c r="F220" s="124"/>
      <c r="G220" s="116"/>
      <c r="H220" s="117"/>
      <c r="I220" s="122"/>
      <c r="J220" s="129"/>
      <c r="K220" s="126"/>
      <c r="L220" s="130"/>
      <c r="M220" s="126"/>
      <c r="N220" s="200"/>
      <c r="O220" s="229"/>
      <c r="P220" s="229"/>
      <c r="Q220" s="229"/>
      <c r="R220" s="229"/>
      <c r="S220" s="229"/>
      <c r="T220" s="229"/>
      <c r="U220" s="229"/>
      <c r="V220" s="229"/>
      <c r="W220" s="229"/>
      <c r="X220" s="229"/>
      <c r="Y220" s="229"/>
      <c r="Z220" s="229"/>
      <c r="AA220" s="229"/>
      <c r="AW220"/>
      <c r="AX220" s="122"/>
      <c r="AY220" s="119">
        <v>5</v>
      </c>
      <c r="AZ220" s="137"/>
      <c r="BA220" s="118">
        <v>1.0000000004370222</v>
      </c>
    </row>
    <row r="221" spans="1:53" ht="14.45" customHeight="1" thickBot="1" x14ac:dyDescent="0.3">
      <c r="A221" s="97"/>
      <c r="B221" s="97"/>
      <c r="C221" s="53">
        <f>SUM(C219:C220)</f>
        <v>0</v>
      </c>
      <c r="D221" s="53"/>
      <c r="E221" s="97"/>
      <c r="F221" s="98"/>
      <c r="G221" s="94"/>
      <c r="H221" s="94"/>
      <c r="I221" s="95"/>
      <c r="J221" s="53"/>
      <c r="K221" s="53">
        <f>SUM(K219:K220)</f>
        <v>0</v>
      </c>
      <c r="L221" s="53"/>
      <c r="M221" s="53">
        <f>SUM(M219:M220)</f>
        <v>0</v>
      </c>
      <c r="N221" s="221">
        <f>SUM(N219:N220)</f>
        <v>0</v>
      </c>
      <c r="O221" s="229"/>
      <c r="P221" s="229"/>
      <c r="Q221" s="229"/>
      <c r="R221" s="229"/>
      <c r="S221" s="229"/>
      <c r="T221" s="229"/>
      <c r="U221" s="229"/>
      <c r="V221" s="229"/>
      <c r="W221" s="229"/>
      <c r="X221" s="229"/>
      <c r="Y221" s="229"/>
      <c r="Z221" s="229"/>
      <c r="AA221" s="229"/>
      <c r="AW221"/>
      <c r="AX221" s="49"/>
      <c r="AY221" s="96">
        <f>IFERROR(SUMPRODUCT(AY219:AY220,G219:G220)/G221,0)</f>
        <v>0</v>
      </c>
      <c r="AZ221" s="96"/>
      <c r="BA221" s="96"/>
    </row>
    <row r="222" spans="1:53" ht="14.45" customHeight="1" thickTop="1" x14ac:dyDescent="0.25">
      <c r="A222" s="138"/>
      <c r="B222" s="138"/>
      <c r="C222" s="61"/>
      <c r="D222" s="61"/>
      <c r="E222" s="138"/>
      <c r="F222" s="139"/>
      <c r="G222" s="140"/>
      <c r="H222" s="140"/>
      <c r="I222" s="141"/>
      <c r="J222" s="61"/>
      <c r="K222" s="61"/>
      <c r="L222" s="61"/>
      <c r="M222" s="61"/>
      <c r="N222" s="61"/>
      <c r="O222" s="229"/>
      <c r="P222" s="229"/>
      <c r="Q222" s="229"/>
      <c r="R222" s="229"/>
      <c r="S222" s="229"/>
      <c r="T222" s="229"/>
      <c r="U222" s="229"/>
      <c r="V222" s="229"/>
      <c r="W222" s="229"/>
      <c r="X222" s="229"/>
      <c r="Y222" s="229"/>
      <c r="Z222" s="229"/>
      <c r="AA222" s="229"/>
      <c r="AX222" s="62"/>
      <c r="AY222" s="142"/>
      <c r="AZ222" s="142"/>
      <c r="BA222" s="142"/>
    </row>
    <row r="223" spans="1:53" ht="14.45" customHeight="1" x14ac:dyDescent="0.25">
      <c r="A223" s="138"/>
      <c r="B223" s="138"/>
      <c r="C223" s="61"/>
      <c r="D223" s="61"/>
      <c r="E223" s="138"/>
      <c r="F223" s="139"/>
      <c r="G223" s="140"/>
      <c r="H223" s="140"/>
      <c r="I223" s="141"/>
      <c r="J223" s="61"/>
      <c r="K223" s="61"/>
      <c r="L223" s="61"/>
      <c r="M223" s="61"/>
      <c r="N223" s="61"/>
      <c r="O223" s="229"/>
      <c r="P223" s="229"/>
      <c r="Q223" s="229"/>
      <c r="R223" s="229"/>
      <c r="S223" s="229"/>
      <c r="T223" s="229"/>
      <c r="U223" s="229"/>
      <c r="V223" s="229"/>
      <c r="W223" s="229"/>
      <c r="X223" s="229"/>
      <c r="Y223" s="229"/>
      <c r="Z223" s="229"/>
      <c r="AA223" s="229"/>
      <c r="AX223" s="62"/>
      <c r="AY223" s="142"/>
      <c r="AZ223" s="142"/>
      <c r="BA223" s="142"/>
    </row>
    <row r="224" spans="1:53" ht="14.45" customHeight="1" x14ac:dyDescent="0.25">
      <c r="A224" s="12" t="s">
        <v>438</v>
      </c>
      <c r="B224" s="12"/>
      <c r="C224" s="61"/>
      <c r="D224" s="61"/>
      <c r="E224" s="138"/>
      <c r="F224" s="139"/>
      <c r="G224" s="140"/>
      <c r="H224" s="140"/>
      <c r="I224" s="141"/>
      <c r="J224" s="61"/>
      <c r="K224" s="61"/>
      <c r="L224" s="61"/>
      <c r="M224" s="61"/>
      <c r="N224" s="61"/>
      <c r="O224" s="229"/>
      <c r="P224" s="229"/>
      <c r="Q224" s="229"/>
      <c r="R224" s="229"/>
      <c r="S224" s="229"/>
      <c r="T224" s="229"/>
      <c r="U224" s="229"/>
      <c r="V224" s="229"/>
      <c r="W224" s="229"/>
      <c r="X224" s="229"/>
      <c r="Y224" s="229"/>
      <c r="Z224" s="229"/>
      <c r="AA224" s="229"/>
      <c r="AX224" s="62"/>
      <c r="AY224" s="142"/>
      <c r="AZ224" s="142"/>
      <c r="BA224" s="142"/>
    </row>
    <row r="225" spans="1:53" ht="14.45" customHeight="1" x14ac:dyDescent="0.25">
      <c r="A225" s="199" t="s">
        <v>79</v>
      </c>
      <c r="B225" s="199" t="s">
        <v>439</v>
      </c>
      <c r="C225" s="61"/>
      <c r="D225" s="61"/>
      <c r="E225" s="138"/>
      <c r="F225" s="139"/>
      <c r="G225" s="140"/>
      <c r="H225" s="140"/>
      <c r="I225" s="141"/>
      <c r="J225" s="61"/>
      <c r="K225" s="61"/>
      <c r="L225" s="61"/>
      <c r="M225" s="61"/>
      <c r="N225" s="61"/>
      <c r="O225" s="229"/>
      <c r="P225" s="229"/>
      <c r="Q225" s="229"/>
      <c r="R225" s="229"/>
      <c r="S225" s="229"/>
      <c r="T225" s="229"/>
      <c r="U225" s="229"/>
      <c r="V225" s="229"/>
      <c r="W225" s="229"/>
      <c r="X225" s="229"/>
      <c r="Y225" s="229"/>
      <c r="Z225" s="229"/>
      <c r="AA225" s="229"/>
      <c r="AX225" s="62"/>
      <c r="AY225" s="142"/>
      <c r="AZ225" s="142"/>
      <c r="BA225" s="142"/>
    </row>
    <row r="226" spans="1:53" ht="14.45" customHeight="1" x14ac:dyDescent="0.25">
      <c r="A226" s="119"/>
      <c r="B226" s="126"/>
      <c r="C226" s="61"/>
      <c r="D226" s="61"/>
      <c r="E226" s="138"/>
      <c r="F226" s="139"/>
      <c r="G226" s="140"/>
      <c r="H226" s="140"/>
      <c r="I226" s="141"/>
      <c r="J226" s="61"/>
      <c r="K226" s="61"/>
      <c r="L226" s="61"/>
      <c r="M226" s="61"/>
      <c r="N226" s="61"/>
      <c r="O226" s="229"/>
      <c r="P226" s="229"/>
      <c r="Q226" s="229"/>
      <c r="R226" s="229"/>
      <c r="S226" s="229"/>
      <c r="T226" s="229"/>
      <c r="U226" s="229"/>
      <c r="V226" s="229"/>
      <c r="W226" s="229"/>
      <c r="X226" s="229"/>
      <c r="Y226" s="229"/>
      <c r="Z226" s="229"/>
      <c r="AA226" s="229"/>
      <c r="AX226" s="62"/>
      <c r="AY226" s="142"/>
      <c r="AZ226" s="142"/>
      <c r="BA226" s="142"/>
    </row>
    <row r="227" spans="1:53" ht="14.45" customHeight="1" x14ac:dyDescent="0.25">
      <c r="A227" s="287"/>
      <c r="B227" s="126"/>
      <c r="C227" s="61"/>
      <c r="D227" s="61"/>
      <c r="E227" s="138"/>
      <c r="F227" s="139"/>
      <c r="G227" s="140"/>
      <c r="H227" s="140"/>
      <c r="I227" s="141"/>
      <c r="J227" s="61"/>
      <c r="K227" s="61"/>
      <c r="L227" s="61"/>
      <c r="M227" s="61"/>
      <c r="N227" s="61"/>
      <c r="O227" s="229"/>
      <c r="P227" s="229"/>
      <c r="Q227" s="229"/>
      <c r="R227" s="229"/>
      <c r="S227" s="229"/>
      <c r="T227" s="229"/>
      <c r="U227" s="229"/>
      <c r="V227" s="229"/>
      <c r="W227" s="229"/>
      <c r="X227" s="229"/>
      <c r="Y227" s="229"/>
      <c r="Z227" s="229"/>
      <c r="AA227" s="229"/>
      <c r="AX227" s="62"/>
      <c r="AY227" s="142"/>
      <c r="AZ227" s="142"/>
      <c r="BA227" s="142"/>
    </row>
    <row r="228" spans="1:53" ht="14.45" customHeight="1" thickBot="1" x14ac:dyDescent="0.3">
      <c r="A228" s="97"/>
      <c r="B228" s="97">
        <f>SUM(B226:B227)</f>
        <v>0</v>
      </c>
      <c r="C228" s="61"/>
      <c r="D228" s="61"/>
      <c r="E228" s="138"/>
      <c r="F228" s="139"/>
      <c r="G228" s="140"/>
      <c r="H228" s="140"/>
      <c r="I228" s="141"/>
      <c r="J228" s="61"/>
      <c r="K228" s="61"/>
      <c r="L228" s="61"/>
      <c r="M228" s="61"/>
      <c r="N228" s="61"/>
      <c r="O228" s="229"/>
      <c r="P228" s="229"/>
      <c r="Q228" s="229"/>
      <c r="R228" s="229"/>
      <c r="S228" s="229"/>
      <c r="T228" s="229"/>
      <c r="U228" s="229"/>
      <c r="V228" s="229"/>
      <c r="W228" s="229"/>
      <c r="X228" s="229"/>
      <c r="Y228" s="229"/>
      <c r="Z228" s="229"/>
      <c r="AA228" s="229"/>
      <c r="AX228" s="62"/>
      <c r="AY228" s="142"/>
      <c r="AZ228" s="142"/>
      <c r="BA228" s="142"/>
    </row>
    <row r="229" spans="1:53" ht="14.45" customHeight="1" thickTop="1" x14ac:dyDescent="0.25">
      <c r="A229" s="138"/>
      <c r="B229" s="138"/>
      <c r="C229" s="61"/>
      <c r="D229" s="61"/>
      <c r="E229" s="138"/>
      <c r="F229" s="139"/>
      <c r="G229" s="140"/>
      <c r="H229" s="140"/>
      <c r="I229" s="141"/>
      <c r="J229" s="61"/>
      <c r="K229" s="61"/>
      <c r="L229" s="61"/>
      <c r="M229" s="61"/>
      <c r="N229" s="61"/>
      <c r="O229" s="229"/>
      <c r="P229" s="229"/>
      <c r="Q229" s="229"/>
      <c r="R229" s="229"/>
      <c r="S229" s="229"/>
      <c r="T229" s="229"/>
      <c r="U229" s="229"/>
      <c r="V229" s="229"/>
      <c r="W229" s="229"/>
      <c r="X229" s="229"/>
      <c r="Y229" s="229"/>
      <c r="Z229" s="229"/>
      <c r="AA229" s="229"/>
      <c r="AX229" s="62"/>
      <c r="AY229" s="142"/>
      <c r="AZ229" s="142"/>
      <c r="BA229" s="142"/>
    </row>
    <row r="230" spans="1:53" ht="14.45" customHeight="1" x14ac:dyDescent="0.25">
      <c r="A230" s="138"/>
      <c r="B230" s="138"/>
      <c r="C230" s="61"/>
      <c r="D230" s="61"/>
      <c r="E230" s="138"/>
      <c r="F230" s="139"/>
      <c r="G230" s="140"/>
      <c r="H230" s="140"/>
      <c r="I230" s="141"/>
      <c r="J230" s="61"/>
      <c r="K230" s="61"/>
      <c r="L230" s="61"/>
      <c r="M230" s="61"/>
      <c r="N230" s="61"/>
      <c r="O230" s="229"/>
      <c r="P230" s="229"/>
      <c r="Q230" s="229"/>
      <c r="R230" s="229"/>
      <c r="S230" s="229"/>
      <c r="T230" s="229"/>
      <c r="U230" s="229"/>
      <c r="V230" s="229"/>
      <c r="W230" s="229"/>
      <c r="X230" s="229"/>
      <c r="Y230" s="229"/>
      <c r="Z230" s="229"/>
      <c r="AA230" s="229"/>
      <c r="AX230" s="62"/>
      <c r="AY230" s="142"/>
      <c r="AZ230" s="142"/>
      <c r="BA230" s="142"/>
    </row>
    <row r="231" spans="1:53" ht="14.45" customHeight="1" x14ac:dyDescent="0.25">
      <c r="A231" s="308" t="s">
        <v>330</v>
      </c>
      <c r="B231" s="308"/>
      <c r="C231" s="308"/>
      <c r="D231" s="308"/>
      <c r="E231" s="308"/>
      <c r="F231" s="308"/>
      <c r="G231" s="308"/>
      <c r="H231" s="308"/>
      <c r="I231" s="308"/>
      <c r="J231" s="308"/>
      <c r="K231" s="61"/>
      <c r="L231" s="61"/>
      <c r="M231" s="61"/>
      <c r="N231" s="61"/>
      <c r="O231" s="229"/>
      <c r="P231" s="229"/>
      <c r="Q231" s="229"/>
      <c r="R231" s="229"/>
      <c r="S231" s="229"/>
      <c r="T231" s="229"/>
      <c r="U231" s="229"/>
      <c r="V231" s="229"/>
      <c r="W231" s="229"/>
      <c r="X231" s="229"/>
      <c r="Y231" s="229"/>
      <c r="Z231" s="229"/>
      <c r="AA231" s="229"/>
      <c r="AX231" s="62"/>
      <c r="AY231" s="142"/>
      <c r="AZ231" s="142"/>
      <c r="BA231" s="142"/>
    </row>
    <row r="232" spans="1:53" ht="14.45" customHeight="1" x14ac:dyDescent="0.25">
      <c r="A232" s="308"/>
      <c r="B232" s="308"/>
      <c r="C232" s="308"/>
      <c r="D232" s="308"/>
      <c r="E232" s="308"/>
      <c r="F232" s="308"/>
      <c r="G232" s="308"/>
      <c r="H232" s="308"/>
      <c r="I232" s="308"/>
      <c r="J232" s="308"/>
      <c r="K232" s="61"/>
      <c r="L232" s="61"/>
      <c r="M232" s="61"/>
      <c r="N232" s="61"/>
      <c r="O232" s="229"/>
      <c r="P232" s="229"/>
      <c r="Q232" s="229"/>
      <c r="R232" s="229"/>
      <c r="S232" s="229"/>
      <c r="T232" s="229"/>
      <c r="U232" s="229"/>
      <c r="V232" s="229"/>
      <c r="W232" s="229"/>
      <c r="X232" s="229"/>
      <c r="Y232" s="229"/>
      <c r="Z232" s="229"/>
      <c r="AA232" s="229"/>
      <c r="AX232" s="62"/>
      <c r="AY232" s="142"/>
      <c r="AZ232" s="142"/>
      <c r="BA232" s="142"/>
    </row>
    <row r="233" spans="1:53" ht="14.45" customHeight="1" x14ac:dyDescent="0.25">
      <c r="A233" s="308"/>
      <c r="B233" s="308"/>
      <c r="C233" s="308"/>
      <c r="D233" s="308"/>
      <c r="E233" s="308"/>
      <c r="F233" s="308"/>
      <c r="G233" s="308"/>
      <c r="H233" s="308"/>
      <c r="I233" s="308"/>
      <c r="J233" s="308"/>
      <c r="K233" s="61"/>
      <c r="L233" s="61"/>
      <c r="M233" s="61"/>
      <c r="N233" s="61"/>
      <c r="O233" s="229"/>
      <c r="P233" s="229"/>
      <c r="Q233" s="229"/>
      <c r="R233" s="229"/>
      <c r="S233" s="229"/>
      <c r="T233" s="229"/>
      <c r="U233" s="229"/>
      <c r="V233" s="229"/>
      <c r="W233" s="229"/>
      <c r="X233" s="229"/>
      <c r="Y233" s="229"/>
      <c r="Z233" s="229"/>
      <c r="AA233" s="229"/>
      <c r="AX233" s="62"/>
      <c r="AY233" s="142"/>
      <c r="AZ233" s="142"/>
      <c r="BA233" s="142"/>
    </row>
    <row r="234" spans="1:53" ht="14.45" customHeight="1" x14ac:dyDescent="0.25">
      <c r="A234" s="308"/>
      <c r="B234" s="308"/>
      <c r="C234" s="308"/>
      <c r="D234" s="308"/>
      <c r="E234" s="308"/>
      <c r="F234" s="308"/>
      <c r="G234" s="308"/>
      <c r="H234" s="308"/>
      <c r="I234" s="308"/>
      <c r="J234" s="308"/>
      <c r="K234" s="61"/>
      <c r="L234" s="61"/>
      <c r="M234" s="61"/>
      <c r="N234" s="61"/>
      <c r="O234" s="229"/>
      <c r="P234" s="229"/>
      <c r="Q234" s="229"/>
      <c r="R234" s="229"/>
      <c r="S234" s="229"/>
      <c r="T234" s="229"/>
      <c r="U234" s="229"/>
      <c r="V234" s="229"/>
      <c r="W234" s="229"/>
      <c r="X234" s="229"/>
      <c r="Y234" s="229"/>
      <c r="Z234" s="229"/>
      <c r="AA234" s="229"/>
      <c r="AX234" s="62"/>
      <c r="AY234" s="142"/>
      <c r="AZ234" s="142"/>
      <c r="BA234" s="142"/>
    </row>
    <row r="235" spans="1:53" ht="14.45" customHeight="1" x14ac:dyDescent="0.25">
      <c r="A235" s="308"/>
      <c r="B235" s="308"/>
      <c r="C235" s="308"/>
      <c r="D235" s="308"/>
      <c r="E235" s="308"/>
      <c r="F235" s="308"/>
      <c r="G235" s="308"/>
      <c r="H235" s="308"/>
      <c r="I235" s="308"/>
      <c r="J235" s="308"/>
      <c r="K235" s="61"/>
      <c r="L235" s="61"/>
      <c r="M235" s="61"/>
      <c r="N235" s="61"/>
      <c r="O235" s="229"/>
      <c r="P235" s="229"/>
      <c r="Q235" s="229"/>
      <c r="R235" s="229"/>
      <c r="S235" s="229"/>
      <c r="T235" s="229"/>
      <c r="U235" s="229"/>
      <c r="V235" s="229"/>
      <c r="W235" s="229"/>
      <c r="X235" s="229"/>
      <c r="Y235" s="229"/>
      <c r="Z235" s="229"/>
      <c r="AA235" s="229"/>
      <c r="AX235" s="62"/>
      <c r="AY235" s="142"/>
      <c r="AZ235" s="142"/>
      <c r="BA235" s="142"/>
    </row>
    <row r="236" spans="1:53" ht="14.45" customHeight="1" x14ac:dyDescent="0.25">
      <c r="A236" s="308"/>
      <c r="B236" s="308"/>
      <c r="C236" s="308"/>
      <c r="D236" s="308"/>
      <c r="E236" s="308"/>
      <c r="F236" s="308"/>
      <c r="G236" s="308"/>
      <c r="H236" s="308"/>
      <c r="I236" s="308"/>
      <c r="J236" s="308"/>
      <c r="K236" s="61"/>
      <c r="L236" s="61"/>
      <c r="M236" s="61"/>
      <c r="N236" s="61"/>
      <c r="O236" s="229"/>
      <c r="P236" s="229"/>
      <c r="Q236" s="229"/>
      <c r="R236" s="229"/>
      <c r="S236" s="229"/>
      <c r="T236" s="229"/>
      <c r="U236" s="229"/>
      <c r="V236" s="229"/>
      <c r="W236" s="229"/>
      <c r="X236" s="229"/>
      <c r="Y236" s="229"/>
      <c r="Z236" s="229"/>
      <c r="AA236" s="229"/>
      <c r="AX236" s="62"/>
      <c r="AY236" s="142"/>
      <c r="AZ236" s="142"/>
      <c r="BA236" s="142"/>
    </row>
    <row r="237" spans="1:53" ht="14.45" customHeight="1" x14ac:dyDescent="0.25">
      <c r="A237" s="308"/>
      <c r="B237" s="308"/>
      <c r="C237" s="308"/>
      <c r="D237" s="308"/>
      <c r="E237" s="308"/>
      <c r="F237" s="308"/>
      <c r="G237" s="308"/>
      <c r="H237" s="308"/>
      <c r="I237" s="308"/>
      <c r="J237" s="308"/>
      <c r="K237" s="61"/>
      <c r="L237" s="61"/>
      <c r="M237" s="61"/>
      <c r="N237" s="61"/>
      <c r="O237" s="229"/>
      <c r="P237" s="229"/>
      <c r="Q237" s="229"/>
      <c r="R237" s="229"/>
      <c r="S237" s="229"/>
      <c r="T237" s="229"/>
      <c r="U237" s="229"/>
      <c r="V237" s="229"/>
      <c r="W237" s="229"/>
      <c r="X237" s="229"/>
      <c r="Y237" s="229"/>
      <c r="Z237" s="229"/>
      <c r="AA237" s="229"/>
      <c r="AX237" s="62"/>
      <c r="AY237" s="142"/>
      <c r="AZ237" s="142"/>
      <c r="BA237" s="142"/>
    </row>
    <row r="238" spans="1:53" ht="14.45" customHeight="1" x14ac:dyDescent="0.25">
      <c r="A238" s="308"/>
      <c r="B238" s="308"/>
      <c r="C238" s="308"/>
      <c r="D238" s="308"/>
      <c r="E238" s="308"/>
      <c r="F238" s="308"/>
      <c r="G238" s="308"/>
      <c r="H238" s="308"/>
      <c r="I238" s="308"/>
      <c r="J238" s="308"/>
      <c r="K238" s="61"/>
      <c r="L238" s="61"/>
      <c r="M238" s="61"/>
      <c r="N238" s="61"/>
      <c r="O238" s="229"/>
      <c r="P238" s="229"/>
      <c r="Q238" s="229"/>
      <c r="R238" s="229"/>
      <c r="S238" s="229"/>
      <c r="T238" s="229"/>
      <c r="U238" s="229"/>
      <c r="V238" s="229"/>
      <c r="W238" s="229"/>
      <c r="X238" s="229"/>
      <c r="Y238" s="229"/>
      <c r="Z238" s="229"/>
      <c r="AA238" s="229"/>
      <c r="AX238" s="62"/>
      <c r="AY238" s="142"/>
      <c r="AZ238" s="142"/>
      <c r="BA238" s="142"/>
    </row>
    <row r="239" spans="1:53" ht="14.45" customHeight="1" x14ac:dyDescent="0.25">
      <c r="A239" s="308"/>
      <c r="B239" s="308"/>
      <c r="C239" s="308"/>
      <c r="D239" s="308"/>
      <c r="E239" s="308"/>
      <c r="F239" s="308"/>
      <c r="G239" s="308"/>
      <c r="H239" s="308"/>
      <c r="I239" s="308"/>
      <c r="J239" s="308"/>
    </row>
    <row r="240" spans="1:53" ht="14.45" customHeight="1" x14ac:dyDescent="0.25">
      <c r="A240" s="309"/>
      <c r="B240" s="309"/>
      <c r="C240" s="309"/>
      <c r="D240" s="309"/>
      <c r="E240" s="309"/>
      <c r="F240" s="309"/>
      <c r="G240" s="309"/>
      <c r="H240" s="309"/>
      <c r="I240" s="309"/>
      <c r="J240" s="309"/>
    </row>
    <row r="241" spans="1:10" ht="44.25" customHeight="1" x14ac:dyDescent="0.25">
      <c r="A241" s="199" t="s">
        <v>4</v>
      </c>
      <c r="B241" s="199" t="s">
        <v>400</v>
      </c>
      <c r="C241" s="199" t="s">
        <v>24</v>
      </c>
      <c r="D241" s="199" t="s">
        <v>399</v>
      </c>
      <c r="E241" s="199" t="s">
        <v>21</v>
      </c>
      <c r="F241" s="199" t="s">
        <v>55</v>
      </c>
      <c r="G241" s="199" t="s">
        <v>398</v>
      </c>
      <c r="H241" s="199" t="s">
        <v>116</v>
      </c>
      <c r="I241" s="199" t="s">
        <v>65</v>
      </c>
      <c r="J241" s="199" t="s">
        <v>147</v>
      </c>
    </row>
    <row r="242" spans="1:10" ht="14.45" customHeight="1" x14ac:dyDescent="0.25">
      <c r="A242" s="99" t="s">
        <v>225</v>
      </c>
      <c r="B242" s="99"/>
      <c r="C242" s="30">
        <f>SUMIF($J$175:$J$178,"100% Cap Protected FRN",$K$175:$K$178)</f>
        <v>0</v>
      </c>
      <c r="D242" s="30">
        <f>SUMIF($J$175:$J$178,"100% Cap Protected FRN",$O$175:$O$178)</f>
        <v>0</v>
      </c>
      <c r="E242" s="25" t="s">
        <v>51</v>
      </c>
      <c r="F242" s="25" cm="1">
        <f t="array" ref="F242">IFERROR(SUMPRODUCT(--($J$175:$J$178="100% Cap Protected FRN"),$H$175:$H$178,$K$175:$K$178)/$C$242,0)</f>
        <v>0</v>
      </c>
      <c r="G242" s="99"/>
      <c r="H242" s="30">
        <f>SUMIF($J$175:$J$178,"100% Cap Protected FRN",$P$175:$P$178)</f>
        <v>0</v>
      </c>
      <c r="I242" s="25" cm="1">
        <f t="array" ref="I242">IFERROR(SUMPRODUCT(--($J$175:$J$178="100% Cap Protected FRN"),$AX$175:$AX$178,$O$175:$O$178)/$D$242, 0)</f>
        <v>0</v>
      </c>
      <c r="J242" s="29" cm="1">
        <f t="array" ref="J242">IFERROR(SUMPRODUCT(--($AY$175:$AY$178="100% Cap Protected FRN"),$J$175:$J$178,$O$175:$O$178)/$D$242, 0)</f>
        <v>0</v>
      </c>
    </row>
    <row r="243" spans="1:10" ht="14.45" customHeight="1" x14ac:dyDescent="0.25">
      <c r="A243" s="99" t="s">
        <v>26</v>
      </c>
      <c r="B243" s="30" t="e">
        <f>SUMIF(AB147:AB149,"Single line Bonds ex Cocos",AH147:AH149)</f>
        <v>#VALUE!</v>
      </c>
      <c r="C243" s="30" t="e">
        <f>SUMIF(AB147:AB149,"Single line Bonds ex Cocos",V147:V149)</f>
        <v>#VALUE!</v>
      </c>
      <c r="D243" s="30" t="e">
        <f>SUMIF(AB147:AB149,"Single line Bonds ex Cocos",O147:O149)</f>
        <v>#VALUE!</v>
      </c>
      <c r="E243" s="25" cm="1">
        <f t="array" aca="1" ref="E243" ca="1">IFERROR(SUMPRODUCT(--(AB147:AB149="Single line bonds ex Cocos"),F147:F149,O147:O149)/D243,0)</f>
        <v>0</v>
      </c>
      <c r="F243" s="25" cm="1">
        <f t="array" ref="F243">IFERROR(SUMPRODUCT(--(AB147:AB149="Single line bonds ex Cocos"),E147:E149,V147:V149)/C243,0)</f>
        <v>0</v>
      </c>
      <c r="G243" s="19">
        <f>IFERROR(H243/(B243-H243), 0)</f>
        <v>0</v>
      </c>
      <c r="H243" s="30" t="e">
        <f>SUMIF(AB147:AB149,"Single line Bonds ex Cocos",P147:P149)</f>
        <v>#VALUE!</v>
      </c>
      <c r="I243" s="25" cm="1">
        <f t="array" ref="I243">IFERROR(SUMPRODUCT(--(AB147:AB149="Single line bonds ex Cocos"),AX147:AX149,O147:O149)/D243, 0)</f>
        <v>0</v>
      </c>
      <c r="J243" s="29" cm="1">
        <f t="array" ref="J243">IFERROR(SUMPRODUCT(--(AB147:AB149="Single line bonds ex Cocos"),AY147:AY149,O147:O149)/D243, 0)</f>
        <v>0</v>
      </c>
    </row>
    <row r="244" spans="1:10" ht="14.45" customHeight="1" x14ac:dyDescent="0.25">
      <c r="A244" s="99" t="s">
        <v>27</v>
      </c>
      <c r="B244" s="30">
        <f>SUMIF(AB147:AB149,"Single line Bonds Cocos",AH147:AH149)</f>
        <v>0</v>
      </c>
      <c r="C244" s="30">
        <f>SUMIF(AB147:AB149,"Single line Bonds Cocos",V147:V149)</f>
        <v>0</v>
      </c>
      <c r="D244" s="30">
        <f>SUMIF(AB147:AB149,"Single line Bonds Cocos",O147:O149)</f>
        <v>0</v>
      </c>
      <c r="E244" s="25" cm="1">
        <f t="array" aca="1" ref="E244" ca="1">IFERROR(SUMPRODUCT(--(AB147:AB149="Single line bonds Cocos"),F147:F149,O147:O149)/D244,0)</f>
        <v>0</v>
      </c>
      <c r="F244" s="25" cm="1">
        <f t="array" ref="F244">IFERROR(SUMPRODUCT(--(AB147:AB149="Single line bonds Cocos"),E147:E149,V147:V149)/C244,0)</f>
        <v>0</v>
      </c>
      <c r="G244" s="19">
        <f>IFERROR(H244/(B244-H244), 0)</f>
        <v>0</v>
      </c>
      <c r="H244" s="30">
        <f>SUMIF(AB147:AB149,"Single line Bonds Cocos",P147:P149)</f>
        <v>0</v>
      </c>
      <c r="I244" s="25" cm="1">
        <f t="array" ref="I244">IFERROR(SUMPRODUCT(--(AB147:AB149="Single line bonds Cocos"),AX147:AX149,O147:O149)/D244, 0)</f>
        <v>0</v>
      </c>
      <c r="J244" s="29" cm="1">
        <f t="array" ref="J244">IFERROR(SUMPRODUCT(--(AB147:AB149="Single line bonds Cocos"),AY147:AY149,O147:O149)/D244, 0)</f>
        <v>0</v>
      </c>
    </row>
    <row r="245" spans="1:10" ht="14.45" customHeight="1" x14ac:dyDescent="0.25">
      <c r="A245" s="99" t="s">
        <v>123</v>
      </c>
      <c r="B245" s="99"/>
      <c r="C245" s="30">
        <f>SUMIF(X163:X169,"Fixed Income",T163:T169)</f>
        <v>0</v>
      </c>
      <c r="D245" s="30">
        <f>SUMIF(X163:X169,"Fixed Income",O163:O169)</f>
        <v>0</v>
      </c>
      <c r="E245" s="25" t="s">
        <v>51</v>
      </c>
      <c r="F245" s="25" cm="1">
        <f t="array" ref="F245">IFERROR(SUMPRODUCT(--(X163:X169="Fixed Income"),H163:H169,O163:O169)/D245,0)</f>
        <v>0</v>
      </c>
      <c r="G245" s="99"/>
      <c r="H245" s="30">
        <f>SUMIF(X163:X169,"Fixed Income",P163:P169)</f>
        <v>0</v>
      </c>
      <c r="I245" s="25" cm="1">
        <f t="array" ref="I245">IFERROR(SUMPRODUCT(--(X163:X169="Fixed Income"),AX163:AX169,O163:O169)/D245, 0)</f>
        <v>0</v>
      </c>
      <c r="J245" s="29" cm="1">
        <f t="array" ref="J245">IFERROR(SUMPRODUCT(--(X163:X169="Fixed Income"),AY163:AY169,O163:O169)/D245, 0)</f>
        <v>0</v>
      </c>
    </row>
    <row r="246" spans="1:10" ht="14.45" customHeight="1" x14ac:dyDescent="0.25">
      <c r="A246" s="99" t="s">
        <v>124</v>
      </c>
      <c r="B246" s="99"/>
      <c r="C246" s="30">
        <f>SUMIF(J175:J178,"Credit Linked Notes",K175:K178)</f>
        <v>0</v>
      </c>
      <c r="D246" s="30">
        <f>SUMIF(J175:J178,"Credit Linked Notes",O175:O178)</f>
        <v>0</v>
      </c>
      <c r="E246" s="25" t="s">
        <v>51</v>
      </c>
      <c r="F246" s="25" cm="1">
        <f t="array" ref="F246">IFERROR(SUMPRODUCT(--(J175:J178="Credit Linked Notes"),H175:H178,K175:K178)/C246,0)</f>
        <v>0</v>
      </c>
      <c r="G246" s="99"/>
      <c r="H246" s="30">
        <f>SUMIF(J175:J178,"Credit Linked Notes",P175:P178)</f>
        <v>0</v>
      </c>
      <c r="I246" s="25" cm="1">
        <f t="array" ref="I246">IFERROR(SUMPRODUCT(--(J175:J178="Credit Linked Notes"),AX175:AX178,O175:O178)/D246, 0)</f>
        <v>0</v>
      </c>
      <c r="J246" s="29" cm="1">
        <f t="array" ref="J246">IFERROR(SUMPRODUCT(--(J175:J178="Credit Linked Notes"),AY175:AY178,O175:O178)/D246, 0)</f>
        <v>0</v>
      </c>
    </row>
    <row r="247" spans="1:10" ht="14.45" customHeight="1" x14ac:dyDescent="0.25">
      <c r="A247" s="100" t="s">
        <v>125</v>
      </c>
      <c r="B247" s="99"/>
      <c r="C247" s="30">
        <f>SUMIF(J175:J178,"Rates Linked Notes",K175:K178)</f>
        <v>0</v>
      </c>
      <c r="D247" s="30">
        <f>SUMIF(J175:J178,"Rates Linked Notes",O175:O178)</f>
        <v>0</v>
      </c>
      <c r="E247" s="25" t="s">
        <v>51</v>
      </c>
      <c r="F247" s="25" cm="1">
        <f t="array" ref="F247">IFERROR(SUMPRODUCT(--(J175:J178="Rates Linked Notes"),H175:H178,K175:K178)/C247,0)</f>
        <v>0</v>
      </c>
      <c r="G247" s="99"/>
      <c r="H247" s="30">
        <f>SUMIF(J175:J178,"Rates Linked Notes",P175:P178)</f>
        <v>0</v>
      </c>
      <c r="I247" s="25" cm="1">
        <f t="array" ref="I247">IFERROR(SUMPRODUCT(--(J175:J178="Rates Linked Notes"),AX175:AX178,O175:O178)/D247, 0)</f>
        <v>0</v>
      </c>
      <c r="J247" s="29" cm="1">
        <f t="array" ref="J247">IFERROR(SUMPRODUCT(--(AY175:AY178="Rates Linked Notes"),J175:J178,O175:O178)/D247, 0)</f>
        <v>0</v>
      </c>
    </row>
    <row r="248" spans="1:10" ht="14.45" customHeight="1" x14ac:dyDescent="0.25">
      <c r="A248" s="99" t="s">
        <v>19</v>
      </c>
      <c r="B248" s="99"/>
      <c r="C248" s="30" t="e">
        <f>SUMIF(Y155:Y157,"Single Line Equity",T155:T157)</f>
        <v>#VALUE!</v>
      </c>
      <c r="D248" s="30" t="e">
        <f>SUMIF(Y155:Y157,"Single Line Equity",O155:O157)</f>
        <v>#VALUE!</v>
      </c>
      <c r="E248" s="25" t="s">
        <v>51</v>
      </c>
      <c r="F248" s="25" cm="1">
        <f t="array" ref="F248">IFERROR(SUMPRODUCT(--(Y155:Y157="Single Line Equity"),F155:F157,O155:O157)/D248,0)</f>
        <v>0</v>
      </c>
      <c r="G248" s="99"/>
      <c r="H248" s="30" t="e">
        <f>SUMIF(Y155:Y157,"Single Line Equity",P155:P157)</f>
        <v>#VALUE!</v>
      </c>
      <c r="I248" s="25" cm="1">
        <f t="array" ref="I248">IFERROR(SUMPRODUCT(--(Y155:Y157="Single Line Equity"),AX155:AX157,O155:O157)/D248, 0)</f>
        <v>0</v>
      </c>
      <c r="J248" s="29" cm="1">
        <f t="array" ref="J248">IFERROR(SUMPRODUCT(--(Y155:Y157="Single Line Equity"),AY155:AY157,O155:O157)/D248, 0)</f>
        <v>0</v>
      </c>
    </row>
    <row r="249" spans="1:10" ht="14.45" customHeight="1" x14ac:dyDescent="0.25">
      <c r="A249" s="100" t="s">
        <v>20</v>
      </c>
      <c r="B249" s="99"/>
      <c r="C249" s="30">
        <f>SUMIF(X163:X169,"Equity",T163:T169)</f>
        <v>0</v>
      </c>
      <c r="D249" s="30">
        <f>SUMIF(X163:X169,"Equity",O163:O169)</f>
        <v>0</v>
      </c>
      <c r="E249" s="25" t="s">
        <v>51</v>
      </c>
      <c r="F249" s="25" cm="1">
        <f t="array" ref="F249">IFERROR(SUMPRODUCT(--(X163:X169="Equity"),H163:H169,O163:O169)/D249,0)</f>
        <v>0</v>
      </c>
      <c r="G249" s="99"/>
      <c r="H249" s="30">
        <f>SUMIF(X163:X169,"Equity",P163:P169)</f>
        <v>0</v>
      </c>
      <c r="I249" s="25" cm="1">
        <f t="array" ref="I249">IFERROR(SUMPRODUCT(--(X163:X169="Equity"),AX163:AX169,O163:O169)/D249, 0)</f>
        <v>0</v>
      </c>
      <c r="J249" s="29" cm="1">
        <f t="array" ref="J249">IFERROR(SUMPRODUCT(--(X163:X169="Equity"),AY163:AY169,O163:O169)/D249, 0)</f>
        <v>0</v>
      </c>
    </row>
    <row r="250" spans="1:10" ht="14.45" customHeight="1" x14ac:dyDescent="0.25">
      <c r="A250" s="100" t="s">
        <v>126</v>
      </c>
      <c r="B250" s="99"/>
      <c r="C250" s="30">
        <f>SUMIF(X163:X169,"Mixed Allocation",T163:T169)</f>
        <v>0</v>
      </c>
      <c r="D250" s="30">
        <f>SUMIF(X163:X169,"Mixed Allocation",O163:O169)</f>
        <v>0</v>
      </c>
      <c r="E250" s="25" t="s">
        <v>51</v>
      </c>
      <c r="F250" s="25" cm="1">
        <f t="array" ref="F250">IFERROR(SUMPRODUCT(--(X163:X169="Mixed Allocation"),H163:H169,O163:O169)/D250,0)</f>
        <v>0</v>
      </c>
      <c r="G250" s="99"/>
      <c r="H250" s="30">
        <f>SUMIF(X163:X169,"Mixed Allocation",P163:P169)</f>
        <v>0</v>
      </c>
      <c r="I250" s="25" cm="1">
        <f t="array" ref="I250">IFERROR(SUMPRODUCT(--(X163:X169="Mixed Allocation"),AX163:AX169,O163:O169)/D250, 0)</f>
        <v>0</v>
      </c>
      <c r="J250" s="29" cm="1">
        <f t="array" ref="J250">IFERROR(SUMPRODUCT(--(X163:X169="Mixed Allocation"),AY163:AY169,O163:O169)/D250, 0)</f>
        <v>0</v>
      </c>
    </row>
    <row r="251" spans="1:10" ht="14.45" customHeight="1" x14ac:dyDescent="0.25">
      <c r="A251" s="99" t="s">
        <v>214</v>
      </c>
      <c r="B251" s="99"/>
      <c r="C251" s="30">
        <f>SUMIF(J175:J178,"Equity Linked Structured Products",K175:K178)</f>
        <v>0</v>
      </c>
      <c r="D251" s="30">
        <f>SUMIF(J175:J178,"Equity Linked Structured Products",O175:O178)</f>
        <v>0</v>
      </c>
      <c r="E251" s="25" t="s">
        <v>51</v>
      </c>
      <c r="F251" s="25" cm="1">
        <f t="array" ref="F251">IFERROR(SUMPRODUCT(--(J175:J178="Equity Linked Structured Products"),H175:H178,K175:K178)/C251,0)</f>
        <v>0</v>
      </c>
      <c r="G251" s="99"/>
      <c r="H251" s="30">
        <f>SUMIF(J175:J178,"Equity Linked Structured Products",P175:P178)</f>
        <v>0</v>
      </c>
      <c r="I251" s="25" cm="1">
        <f t="array" ref="I251">IFERROR(SUMPRODUCT(--(J175:J178="Equity Linked Structured Products"),AX175:AX178,O175:O178)/D251, 0)</f>
        <v>0</v>
      </c>
      <c r="J251" s="29" cm="1">
        <f t="array" ref="J251">IFERROR(SUMPRODUCT(--(AY175:AY178="Equity Linked Structured Products"),J175:J178,O175:O178)/D251, 0)</f>
        <v>0</v>
      </c>
    </row>
    <row r="252" spans="1:10" ht="14.45" customHeight="1" x14ac:dyDescent="0.25">
      <c r="A252" s="99" t="s">
        <v>10</v>
      </c>
      <c r="B252" s="99"/>
      <c r="C252" s="30">
        <f>M214</f>
        <v>0</v>
      </c>
      <c r="D252" s="30">
        <f>H214</f>
        <v>0</v>
      </c>
      <c r="E252" s="25" t="s">
        <v>51</v>
      </c>
      <c r="F252" s="25">
        <f>L214</f>
        <v>0</v>
      </c>
      <c r="G252" s="99"/>
      <c r="H252" s="30">
        <f>I214</f>
        <v>0</v>
      </c>
      <c r="I252" s="25">
        <f>AX214</f>
        <v>0</v>
      </c>
      <c r="J252" s="29">
        <f>AY214</f>
        <v>0</v>
      </c>
    </row>
    <row r="253" spans="1:10" ht="14.45" customHeight="1" x14ac:dyDescent="0.25">
      <c r="A253" s="99" t="s">
        <v>215</v>
      </c>
      <c r="B253" s="99"/>
      <c r="C253" s="30">
        <f>SUMIF(J175:J178,"Commodities Linked Structured Products",K175:K178)</f>
        <v>0</v>
      </c>
      <c r="D253" s="30">
        <f>SUMIF(J175:J178,"Commodities Linked Structured Products",O175:O178)</f>
        <v>0</v>
      </c>
      <c r="E253" s="25" t="s">
        <v>51</v>
      </c>
      <c r="F253" s="25" cm="1">
        <f t="array" ref="F253">IFERROR(SUMPRODUCT(--(J175:J178="Commodities Linked Structured Products"),H175:H178,K175:K178)/C253,0)</f>
        <v>0</v>
      </c>
      <c r="G253" s="99"/>
      <c r="H253" s="30">
        <f>SUMIF(J175:J178,"Commodities Linked Structured Products",P175:P178)</f>
        <v>0</v>
      </c>
      <c r="I253" s="25" cm="1">
        <f t="array" ref="I253">IFERROR(SUMPRODUCT(--(J175:J178="Commodities Linked Structured Products"),AX175:AX178,O175:O178)/D253, 0)</f>
        <v>0</v>
      </c>
      <c r="J253" s="29" cm="1">
        <f t="array" ref="J253">IFERROR(SUMPRODUCT(--(AY175:AY178="Commodities Linked Structured Products"),J175:J178,O175:O178)/D253, 0)</f>
        <v>0</v>
      </c>
    </row>
    <row r="254" spans="1:10" ht="14.45" customHeight="1" x14ac:dyDescent="0.25">
      <c r="A254" s="99" t="s">
        <v>227</v>
      </c>
      <c r="B254" s="99"/>
      <c r="C254" s="30">
        <f>SUMIF(X163:X169,"Commodity",T163:T169)</f>
        <v>0</v>
      </c>
      <c r="D254" s="30">
        <f>SUMIF(X163:X169,"Commodity",O163:O169)</f>
        <v>0</v>
      </c>
      <c r="E254" s="25" t="s">
        <v>51</v>
      </c>
      <c r="F254" s="25" cm="1">
        <f t="array" ref="F254">IFERROR(SUMPRODUCT(--(X163:X169="Commodity"),H163:H169,O163:O169)/D254,0)</f>
        <v>0</v>
      </c>
      <c r="G254" s="99"/>
      <c r="H254" s="30">
        <f>SUMIF(X163:X169,"Commodity",P163:P169)</f>
        <v>0</v>
      </c>
      <c r="I254" s="25" cm="1">
        <f t="array" ref="I254">IFERROR(SUMPRODUCT(--(X163:X169="Commodity"),AX163:AX169,O163:O169)/D254, 0)</f>
        <v>0</v>
      </c>
      <c r="J254" s="29" cm="1">
        <f t="array" ref="J254">IFERROR(SUMPRODUCT(--(X163:X169="Commodity"),AY163:AY169,O163:O169)/D254, 0)</f>
        <v>0</v>
      </c>
    </row>
    <row r="255" spans="1:10" ht="14.45" customHeight="1" x14ac:dyDescent="0.25">
      <c r="A255" s="99" t="s">
        <v>228</v>
      </c>
      <c r="B255" s="99"/>
      <c r="C255" s="30">
        <f>SUMIF(X163:X169,"Alternative",T163:T169)</f>
        <v>0</v>
      </c>
      <c r="D255" s="30">
        <f>SUMIF(X163:X169,"Alternative",O163:O169)</f>
        <v>0</v>
      </c>
      <c r="E255" s="25" t="s">
        <v>51</v>
      </c>
      <c r="F255" s="25" cm="1">
        <f t="array" ref="F255">IFERROR(SUMPRODUCT(--(X163:X169="Alternative"),H163:H169,O163:O169)/D255,0)</f>
        <v>0</v>
      </c>
      <c r="G255" s="99"/>
      <c r="H255" s="30">
        <f>SUMIF(X163:X169,"Alternative",P163:P169)</f>
        <v>0</v>
      </c>
      <c r="I255" s="25" cm="1">
        <f t="array" ref="I255">IFERROR(SUMPRODUCT(--(X163:X169="Alternative"),AX163:AX169,O163:O169)/D255, 0)</f>
        <v>0</v>
      </c>
      <c r="J255" s="29" cm="1">
        <f t="array" ref="J255">IFERROR(SUMPRODUCT(--(X163:X169="Alternative"),AY163:AY169,O163:O169)/D255, 0)</f>
        <v>0</v>
      </c>
    </row>
    <row r="257" spans="1:53" ht="30.75" customHeight="1" x14ac:dyDescent="0.25">
      <c r="A257" s="199" t="s">
        <v>226</v>
      </c>
      <c r="B257" s="199"/>
      <c r="C257" s="199"/>
      <c r="D257" s="199"/>
      <c r="E257" s="199"/>
      <c r="F257" s="199"/>
      <c r="G257" s="199"/>
      <c r="H257" s="199"/>
      <c r="I257" s="199"/>
      <c r="J257" s="199"/>
    </row>
    <row r="258" spans="1:53" ht="14.45" customHeight="1" x14ac:dyDescent="0.25">
      <c r="A258" s="99" t="s">
        <v>146</v>
      </c>
      <c r="B258" s="101" t="e">
        <f>F139+R150+R158+R170+R179+R188+R208+J214+I266</f>
        <v>#VALUE!</v>
      </c>
      <c r="C258" s="30"/>
      <c r="D258" s="30"/>
      <c r="E258" s="25"/>
      <c r="F258" s="25"/>
      <c r="G258" s="99"/>
      <c r="H258" s="30"/>
      <c r="I258" s="25"/>
      <c r="J258" s="27"/>
    </row>
    <row r="262" spans="1:53" ht="14.45" hidden="1" customHeight="1" x14ac:dyDescent="0.25">
      <c r="A262" s="12" t="s">
        <v>131</v>
      </c>
      <c r="B262" s="12"/>
      <c r="C262" s="12"/>
      <c r="D262" s="12"/>
      <c r="E262" s="12"/>
      <c r="F262" s="12"/>
      <c r="G262" s="12"/>
      <c r="H262" s="12"/>
      <c r="I262" s="12"/>
      <c r="J262" s="12"/>
      <c r="K262" s="12"/>
      <c r="L262" s="12"/>
      <c r="M262" s="12"/>
      <c r="N262" s="12"/>
      <c r="O262" s="12"/>
      <c r="P262" s="12"/>
      <c r="Q262" s="12"/>
      <c r="R262" s="12"/>
      <c r="AF262" s="229"/>
    </row>
    <row r="263" spans="1:53" ht="30.75" hidden="1" customHeight="1" x14ac:dyDescent="0.25">
      <c r="A263" s="199" t="s">
        <v>4</v>
      </c>
      <c r="B263" s="199" t="s">
        <v>54</v>
      </c>
      <c r="C263" s="199" t="s">
        <v>17</v>
      </c>
      <c r="D263" s="199" t="s">
        <v>153</v>
      </c>
      <c r="E263" s="214" t="s">
        <v>5</v>
      </c>
      <c r="F263" s="199" t="s">
        <v>155</v>
      </c>
      <c r="G263" s="199" t="s">
        <v>92</v>
      </c>
      <c r="H263" s="199" t="s">
        <v>116</v>
      </c>
      <c r="I263" s="199" t="s">
        <v>146</v>
      </c>
      <c r="J263" s="229"/>
      <c r="K263" s="229"/>
      <c r="L263" s="229"/>
      <c r="M263" s="229"/>
      <c r="N263" s="229"/>
      <c r="O263" s="229"/>
      <c r="P263" s="229"/>
      <c r="Q263" s="229"/>
      <c r="R263" s="229"/>
      <c r="S263" s="229"/>
      <c r="T263" s="229"/>
      <c r="U263" s="229"/>
      <c r="V263" s="199" t="s">
        <v>24</v>
      </c>
      <c r="W263" s="214"/>
      <c r="X263" s="199" t="s">
        <v>18</v>
      </c>
      <c r="Y263" s="199" t="s">
        <v>6</v>
      </c>
      <c r="Z263" s="199" t="s">
        <v>8</v>
      </c>
      <c r="AA263" s="199"/>
      <c r="AF263" s="229"/>
      <c r="AX263" s="199" t="s">
        <v>65</v>
      </c>
      <c r="AY263" s="199" t="s">
        <v>147</v>
      </c>
      <c r="AZ263" s="199" t="s">
        <v>162</v>
      </c>
      <c r="BA263" s="214" t="s">
        <v>224</v>
      </c>
    </row>
    <row r="264" spans="1:53" ht="14.45" hidden="1" customHeight="1" x14ac:dyDescent="0.25">
      <c r="A264" s="8"/>
      <c r="B264" s="8"/>
      <c r="C264" s="10"/>
      <c r="D264" s="10"/>
      <c r="E264" s="9"/>
      <c r="F264" s="11">
        <f>C264*D264*(100%+0%)</f>
        <v>0</v>
      </c>
      <c r="G264" s="9">
        <f>C264*E264*(100%+0%)</f>
        <v>0</v>
      </c>
      <c r="H264" s="47">
        <f>G264-F264</f>
        <v>0</v>
      </c>
      <c r="I264" s="42" t="e">
        <f>G264/$D$49</f>
        <v>#VALUE!</v>
      </c>
      <c r="J264" s="229"/>
      <c r="K264" s="229"/>
      <c r="L264" s="229"/>
      <c r="M264" s="229"/>
      <c r="N264" s="229"/>
      <c r="O264" s="229"/>
      <c r="P264" s="229"/>
      <c r="Q264" s="229"/>
      <c r="R264" s="229"/>
      <c r="S264" s="229"/>
      <c r="T264" s="229"/>
      <c r="U264" s="229"/>
      <c r="V264" s="87"/>
      <c r="W264" s="10"/>
      <c r="X264" s="76"/>
      <c r="Y264" s="44"/>
      <c r="Z264" s="119"/>
      <c r="AA264" s="8"/>
      <c r="AF264" s="229"/>
      <c r="AX264" s="122">
        <v>0.7</v>
      </c>
      <c r="AY264" s="119">
        <v>5</v>
      </c>
      <c r="AZ264" s="119"/>
      <c r="BA264" s="118">
        <v>1.0000000004370222</v>
      </c>
    </row>
    <row r="265" spans="1:53" ht="14.45" hidden="1" customHeight="1" x14ac:dyDescent="0.25">
      <c r="J265" s="229"/>
      <c r="K265" s="229"/>
      <c r="L265" s="229"/>
      <c r="M265" s="229"/>
      <c r="N265" s="229"/>
      <c r="O265" s="229"/>
      <c r="P265" s="229"/>
      <c r="Q265" s="229"/>
      <c r="R265" s="229"/>
      <c r="S265" s="229"/>
      <c r="T265" s="229"/>
      <c r="U265" s="229"/>
      <c r="AF265" s="229"/>
      <c r="AX265" s="122"/>
      <c r="AY265" s="119"/>
      <c r="AZ265" s="119"/>
      <c r="BA265" s="118">
        <v>1.0000000004370222</v>
      </c>
    </row>
    <row r="266" spans="1:53" ht="14.45" hidden="1" customHeight="1" thickBot="1" x14ac:dyDescent="0.3">
      <c r="A266" s="97"/>
      <c r="B266" s="97"/>
      <c r="C266" s="53"/>
      <c r="D266" s="53"/>
      <c r="E266" s="97"/>
      <c r="F266" s="98"/>
      <c r="G266" s="94">
        <f>SUM(G264:G265)</f>
        <v>0</v>
      </c>
      <c r="H266" s="94">
        <f>SUM(H264:H265)</f>
        <v>0</v>
      </c>
      <c r="I266" s="95" t="e">
        <f>SUM(I264:I265)</f>
        <v>#VALUE!</v>
      </c>
      <c r="J266" s="229"/>
      <c r="K266" s="229"/>
      <c r="L266" s="229"/>
      <c r="M266" s="229"/>
      <c r="N266" s="229"/>
      <c r="O266" s="229"/>
      <c r="P266" s="229"/>
      <c r="Q266" s="229"/>
      <c r="R266" s="229"/>
      <c r="S266" s="229"/>
      <c r="T266" s="229"/>
      <c r="U266" s="229"/>
      <c r="V266" s="94">
        <f>SUM(V264:V265)</f>
        <v>0</v>
      </c>
      <c r="W266" s="54"/>
      <c r="X266" s="49"/>
      <c r="Y266" s="48"/>
      <c r="Z266" s="48"/>
      <c r="AA266" s="48"/>
      <c r="AF266" s="229"/>
      <c r="AX266" s="49">
        <f>IFERROR(SUMPRODUCT(AX264:AX265,G264:G265)/G266,0)</f>
        <v>0</v>
      </c>
      <c r="AY266" s="96">
        <f>IFERROR(SUMPRODUCT(AY264:AY265,G264:G265)/G266,0)</f>
        <v>0</v>
      </c>
      <c r="AZ266" s="96"/>
      <c r="BA266" s="96"/>
    </row>
    <row r="267" spans="1:53" ht="14.45" hidden="1" customHeight="1" thickTop="1" x14ac:dyDescent="0.25">
      <c r="A267" s="162"/>
    </row>
    <row r="268" spans="1:53" ht="14.45" customHeight="1" x14ac:dyDescent="0.25">
      <c r="A268" s="162"/>
    </row>
    <row r="269" spans="1:53" ht="14.45" customHeight="1" x14ac:dyDescent="0.25">
      <c r="A269" s="162"/>
    </row>
  </sheetData>
  <mergeCells count="25">
    <mergeCell ref="AI5:AK5"/>
    <mergeCell ref="S5:T5"/>
    <mergeCell ref="V5:W5"/>
    <mergeCell ref="Y5:AA5"/>
    <mergeCell ref="C74:C83"/>
    <mergeCell ref="A57:F57"/>
    <mergeCell ref="A62:B62"/>
    <mergeCell ref="A58:B58"/>
    <mergeCell ref="AI6:AK6"/>
    <mergeCell ref="C6:I6"/>
    <mergeCell ref="C7:I7"/>
    <mergeCell ref="C8:I8"/>
    <mergeCell ref="C9:I9"/>
    <mergeCell ref="C10:I10"/>
    <mergeCell ref="C11:I11"/>
    <mergeCell ref="X25:Y25"/>
    <mergeCell ref="H2:I2"/>
    <mergeCell ref="L129:P129"/>
    <mergeCell ref="A231:J240"/>
    <mergeCell ref="C85:C93"/>
    <mergeCell ref="AE5:AG5"/>
    <mergeCell ref="AE6:AG6"/>
    <mergeCell ref="C58:F58"/>
    <mergeCell ref="A56:C56"/>
    <mergeCell ref="X27:Y27"/>
  </mergeCells>
  <conditionalFormatting sqref="A58">
    <cfRule type="expression" dxfId="9" priority="24">
      <formula>A58&gt;#REF!</formula>
    </cfRule>
    <cfRule type="expression" dxfId="8" priority="26">
      <formula>$H$52&gt;$I$52</formula>
    </cfRule>
    <cfRule type="expression" dxfId="7" priority="27">
      <formula>"G47&gt;$H47"</formula>
    </cfRule>
  </conditionalFormatting>
  <conditionalFormatting sqref="H52">
    <cfRule type="expression" dxfId="6" priority="11">
      <formula>$H$52&gt;$S$52</formula>
    </cfRule>
  </conditionalFormatting>
  <conditionalFormatting sqref="H53">
    <cfRule type="expression" dxfId="5" priority="10">
      <formula>$H$53&gt;$S$53</formula>
    </cfRule>
  </conditionalFormatting>
  <conditionalFormatting sqref="H54">
    <cfRule type="expression" dxfId="4" priority="9">
      <formula>$H$54&gt;$S$54</formula>
    </cfRule>
  </conditionalFormatting>
  <conditionalFormatting sqref="H56">
    <cfRule type="expression" dxfId="3" priority="8">
      <formula>$H$56&lt;$S$56</formula>
    </cfRule>
  </conditionalFormatting>
  <conditionalFormatting sqref="H57">
    <cfRule type="expression" dxfId="2" priority="7">
      <formula>$H$57&gt;$S$57</formula>
    </cfRule>
  </conditionalFormatting>
  <conditionalFormatting sqref="H60">
    <cfRule type="expression" dxfId="1" priority="6">
      <formula>$H$60&gt;$S$60</formula>
    </cfRule>
  </conditionalFormatting>
  <conditionalFormatting sqref="H61">
    <cfRule type="expression" dxfId="0" priority="5">
      <formula>$H$61&lt;$S$61</formula>
    </cfRule>
  </conditionalFormatting>
  <dataValidations disablePrompts="1" count="1">
    <dataValidation type="list" allowBlank="1" showInputMessage="1" showErrorMessage="1" sqref="J175:J178" xr:uid="{292A86AF-0B0F-4E45-842A-3FA09939D610}">
      <formula1>$AM$8:$AM$12</formula1>
    </dataValidation>
  </dataValidations>
  <printOptions horizontalCentered="1"/>
  <pageMargins left="0" right="0" top="0" bottom="0" header="0" footer="0"/>
  <pageSetup paperSize="9" scale="52" fitToHeight="0" orientation="landscape" r:id="rId1"/>
  <headerFooter scaleWithDoc="0" alignWithMargins="0"/>
  <rowBreaks count="3" manualBreakCount="3">
    <brk id="67" max="17" man="1"/>
    <brk id="140" max="17" man="1"/>
    <brk id="180" max="17" man="1"/>
  </rowBreaks>
  <ignoredErrors>
    <ignoredError sqref="H170:M170 W169:AQ169 H179 U175:U178 R188 B213 F213 B258 Z10:AA15 D148:E149 N158:O158 R169 K221 M221:N221 W9:W14 E157:J157 D169:J169 Z170 J187:K187 T169:V169 R187 G213:N214 AX158:AY158 AY170 AX179:AY179 C221 AX188:AY188 B187 A188:B188 AX214:AY214 AX208:AY208 AY221 AJ8:AK11 A147:B149 E155:J155 A163:B169 A155:B157 AS156:AV156 AS167:AV168 C242:J242 R155:R157 D163:J166 R163:R168 AR163:AR169 R175:R179 K175:K179 F187:I188 D187:D188 S187:AS188 M148:O149 R148:S149 Q147:Q149 N175:P179 D167:P168 E156:P156 M155:P155 M163:P166 N187:P187 M169:P169 M157:P157 K188:P188 S169 S155:AR157 S163:AQ168 S175:T179 Q155:Q157 Q180:Q185 AG147:AG150 R147:S147 U147:AD147 U148:AD149 T147:T149 Q187 F193:F207 I193:J207 AH147:AH149 B243:B244 C245:J255 C243:F243 H243:J243 C244:D244 H244:J244 AF8:AF11 AG8:AG11 AF12:AG18 AF19 G243:G244 R193:R208 N193:O208 G208 AI147:AI149 AJ147:AJ150 Q159:Q169 Q158:R158 S158:T158 F158 Q171:Q178 U170:V170 W170:Y170 N170:T170 AX156:XFD156 AX167:XFD168 AW147:AW149 AW193:AW207 AW187 AW175:AW178 AW163:AW169 AW155:AW157 AE147:AF147 AF148:AF149 AE148:AE149 M147:O147 F244 D147:E147 G147:J147 G148:J149" unlockedFormula="1"/>
    <ignoredError sqref="Q179 Q188 I208:J208 H208 F208 Q150:R150" formula="1" unlockedFormula="1"/>
    <ignoredError sqref="B29 G30:G39 B35 G40:G44 B40:E40 H40 G28 G48 O139 Q208" formula="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D9C80-7CE0-4BAF-A2D4-51FE571B3435}">
  <dimension ref="A1:F55"/>
  <sheetViews>
    <sheetView showGridLines="0" topLeftCell="A11" workbookViewId="0">
      <selection activeCell="B30" sqref="B30"/>
    </sheetView>
  </sheetViews>
  <sheetFormatPr defaultRowHeight="15" x14ac:dyDescent="0.25"/>
  <cols>
    <col min="1" max="1" width="28" bestFit="1" customWidth="1"/>
    <col min="2" max="2" width="46.42578125" bestFit="1" customWidth="1"/>
    <col min="3" max="3" width="31.42578125" bestFit="1" customWidth="1"/>
    <col min="5" max="5" width="4" bestFit="1" customWidth="1"/>
    <col min="6" max="6" width="18" bestFit="1" customWidth="1"/>
    <col min="8" max="8" width="15.140625" bestFit="1" customWidth="1"/>
  </cols>
  <sheetData>
    <row r="1" spans="1:6" ht="16.5" thickBot="1" x14ac:dyDescent="0.3">
      <c r="A1" s="102"/>
    </row>
    <row r="2" spans="1:6" ht="15.75" thickBot="1" x14ac:dyDescent="0.3">
      <c r="A2" s="104" t="s">
        <v>35</v>
      </c>
      <c r="B2" s="107" t="s">
        <v>231</v>
      </c>
      <c r="C2" s="107" t="s">
        <v>232</v>
      </c>
    </row>
    <row r="3" spans="1:6" x14ac:dyDescent="0.25">
      <c r="A3" s="105" t="s">
        <v>233</v>
      </c>
      <c r="B3" s="105">
        <v>1</v>
      </c>
      <c r="C3" s="105">
        <v>2</v>
      </c>
    </row>
    <row r="4" spans="1:6" x14ac:dyDescent="0.25">
      <c r="A4" s="105" t="s">
        <v>234</v>
      </c>
      <c r="B4" s="105">
        <v>2</v>
      </c>
      <c r="C4" s="105">
        <v>3</v>
      </c>
    </row>
    <row r="5" spans="1:6" x14ac:dyDescent="0.25">
      <c r="A5" s="105" t="s">
        <v>235</v>
      </c>
      <c r="B5" s="105">
        <v>3</v>
      </c>
      <c r="C5" s="105">
        <v>4</v>
      </c>
    </row>
    <row r="6" spans="1:6" x14ac:dyDescent="0.25">
      <c r="A6" s="105" t="s">
        <v>236</v>
      </c>
      <c r="B6" s="105">
        <v>4</v>
      </c>
      <c r="C6" s="105">
        <v>5</v>
      </c>
    </row>
    <row r="7" spans="1:6" x14ac:dyDescent="0.25">
      <c r="A7" s="105" t="s">
        <v>39</v>
      </c>
      <c r="B7" s="105">
        <v>5</v>
      </c>
      <c r="C7" s="105">
        <v>5</v>
      </c>
    </row>
    <row r="8" spans="1:6" x14ac:dyDescent="0.25">
      <c r="A8" s="103"/>
    </row>
    <row r="9" spans="1:6" ht="15.75" thickBot="1" x14ac:dyDescent="0.3">
      <c r="A9" s="103"/>
    </row>
    <row r="10" spans="1:6" ht="15.75" thickBot="1" x14ac:dyDescent="0.3">
      <c r="A10" s="104" t="s">
        <v>12</v>
      </c>
      <c r="B10" s="107" t="s">
        <v>237</v>
      </c>
      <c r="C10" s="107" t="s">
        <v>147</v>
      </c>
      <c r="D10" s="105"/>
      <c r="E10" s="104" t="s">
        <v>147</v>
      </c>
      <c r="F10" s="107" t="s">
        <v>238</v>
      </c>
    </row>
    <row r="11" spans="1:6" x14ac:dyDescent="0.25">
      <c r="A11" s="106" t="s">
        <v>239</v>
      </c>
      <c r="B11" s="105"/>
      <c r="C11" s="105">
        <v>1</v>
      </c>
      <c r="D11" s="105"/>
      <c r="E11" s="105">
        <v>1</v>
      </c>
      <c r="F11" s="105" t="s">
        <v>240</v>
      </c>
    </row>
    <row r="12" spans="1:6" x14ac:dyDescent="0.25">
      <c r="A12" s="106" t="s">
        <v>241</v>
      </c>
      <c r="B12" s="105"/>
      <c r="C12" s="105">
        <v>2</v>
      </c>
      <c r="D12" s="105"/>
      <c r="E12" s="105">
        <v>2</v>
      </c>
      <c r="F12" s="105" t="s">
        <v>242</v>
      </c>
    </row>
    <row r="13" spans="1:6" x14ac:dyDescent="0.25">
      <c r="A13" s="106" t="s">
        <v>243</v>
      </c>
      <c r="B13" s="105"/>
      <c r="C13" s="105">
        <v>2</v>
      </c>
      <c r="D13" s="105"/>
      <c r="E13" s="105">
        <v>3</v>
      </c>
      <c r="F13" s="105" t="s">
        <v>244</v>
      </c>
    </row>
    <row r="14" spans="1:6" x14ac:dyDescent="0.25">
      <c r="A14" s="106" t="s">
        <v>149</v>
      </c>
      <c r="B14" s="105" t="s">
        <v>245</v>
      </c>
      <c r="C14" s="105">
        <v>2</v>
      </c>
      <c r="D14" s="105"/>
      <c r="E14" s="105">
        <v>4</v>
      </c>
      <c r="F14" s="105" t="s">
        <v>246</v>
      </c>
    </row>
    <row r="15" spans="1:6" x14ac:dyDescent="0.25">
      <c r="A15" s="106"/>
      <c r="B15" s="105" t="s">
        <v>247</v>
      </c>
      <c r="C15" s="105">
        <v>3</v>
      </c>
      <c r="D15" s="105"/>
      <c r="E15" s="105">
        <v>5</v>
      </c>
      <c r="F15" s="105" t="s">
        <v>248</v>
      </c>
    </row>
    <row r="16" spans="1:6" x14ac:dyDescent="0.25">
      <c r="A16" s="106"/>
      <c r="B16" s="105" t="s">
        <v>249</v>
      </c>
      <c r="C16" s="105">
        <v>4</v>
      </c>
      <c r="D16" s="105"/>
      <c r="E16" s="105"/>
      <c r="F16" s="105"/>
    </row>
    <row r="17" spans="1:6" x14ac:dyDescent="0.25">
      <c r="A17" s="106"/>
      <c r="B17" s="105" t="s">
        <v>250</v>
      </c>
      <c r="C17" s="105">
        <v>5</v>
      </c>
      <c r="D17" s="105"/>
      <c r="E17" s="105"/>
      <c r="F17" s="105"/>
    </row>
    <row r="18" spans="1:6" x14ac:dyDescent="0.25">
      <c r="A18" s="106"/>
      <c r="B18" s="105" t="s">
        <v>251</v>
      </c>
      <c r="C18" s="105">
        <v>5</v>
      </c>
      <c r="D18" s="105"/>
      <c r="E18" s="105"/>
      <c r="F18" s="105"/>
    </row>
    <row r="19" spans="1:6" x14ac:dyDescent="0.25">
      <c r="A19" s="106" t="s">
        <v>252</v>
      </c>
      <c r="B19" s="105" t="s">
        <v>253</v>
      </c>
      <c r="C19" s="105">
        <v>3</v>
      </c>
      <c r="D19" s="105"/>
      <c r="E19" s="105"/>
      <c r="F19" s="105"/>
    </row>
    <row r="20" spans="1:6" x14ac:dyDescent="0.25">
      <c r="A20" s="106"/>
      <c r="B20" s="105" t="s">
        <v>254</v>
      </c>
      <c r="C20" s="105">
        <v>4</v>
      </c>
      <c r="D20" s="105"/>
      <c r="E20" s="105"/>
      <c r="F20" s="109"/>
    </row>
    <row r="21" spans="1:6" x14ac:dyDescent="0.25">
      <c r="A21" s="106"/>
      <c r="B21" s="105" t="s">
        <v>255</v>
      </c>
      <c r="C21" s="105">
        <v>5</v>
      </c>
      <c r="D21" s="105"/>
      <c r="E21" s="105"/>
      <c r="F21" s="109"/>
    </row>
    <row r="22" spans="1:6" x14ac:dyDescent="0.25">
      <c r="A22" s="106"/>
      <c r="B22" s="105" t="s">
        <v>256</v>
      </c>
      <c r="C22" s="105">
        <v>5</v>
      </c>
      <c r="D22" s="105"/>
      <c r="E22" s="105"/>
      <c r="F22" s="109"/>
    </row>
    <row r="23" spans="1:6" x14ac:dyDescent="0.25">
      <c r="A23" s="106" t="s">
        <v>2</v>
      </c>
      <c r="B23" s="105" t="s">
        <v>257</v>
      </c>
      <c r="C23" s="105">
        <v>4</v>
      </c>
      <c r="D23" s="105"/>
      <c r="E23" s="105"/>
      <c r="F23" s="109"/>
    </row>
    <row r="24" spans="1:6" x14ac:dyDescent="0.25">
      <c r="A24" s="106"/>
      <c r="B24" s="105" t="s">
        <v>258</v>
      </c>
      <c r="C24" s="105">
        <v>5</v>
      </c>
      <c r="D24" s="105"/>
      <c r="E24" s="105"/>
      <c r="F24" s="109"/>
    </row>
    <row r="25" spans="1:6" x14ac:dyDescent="0.25">
      <c r="A25" s="106"/>
      <c r="B25" s="105" t="s">
        <v>259</v>
      </c>
      <c r="C25" s="105">
        <v>5</v>
      </c>
      <c r="D25" s="105"/>
      <c r="E25" s="105"/>
      <c r="F25" s="109"/>
    </row>
    <row r="26" spans="1:6" x14ac:dyDescent="0.25">
      <c r="A26" s="106"/>
      <c r="B26" s="105" t="s">
        <v>260</v>
      </c>
      <c r="C26" s="105">
        <v>5</v>
      </c>
      <c r="D26" s="105"/>
      <c r="E26" s="105"/>
      <c r="F26" s="109"/>
    </row>
    <row r="27" spans="1:6" x14ac:dyDescent="0.25">
      <c r="A27" s="106"/>
      <c r="B27" s="105" t="s">
        <v>261</v>
      </c>
      <c r="C27" s="105">
        <v>5</v>
      </c>
      <c r="D27" s="105"/>
      <c r="E27" s="105"/>
      <c r="F27" s="109"/>
    </row>
    <row r="28" spans="1:6" x14ac:dyDescent="0.25">
      <c r="A28" s="106"/>
      <c r="B28" s="105" t="s">
        <v>262</v>
      </c>
      <c r="C28" s="105">
        <v>5</v>
      </c>
      <c r="D28" s="105"/>
      <c r="E28" s="105"/>
      <c r="F28" s="109"/>
    </row>
    <row r="29" spans="1:6" x14ac:dyDescent="0.25">
      <c r="A29" s="106" t="s">
        <v>263</v>
      </c>
      <c r="B29" s="105" t="s">
        <v>264</v>
      </c>
      <c r="C29" s="105">
        <v>5</v>
      </c>
      <c r="D29" s="105"/>
      <c r="E29" s="105"/>
      <c r="F29" s="109"/>
    </row>
    <row r="30" spans="1:6" x14ac:dyDescent="0.25">
      <c r="A30" s="106"/>
      <c r="B30" s="105" t="s">
        <v>265</v>
      </c>
      <c r="C30" s="105">
        <v>5</v>
      </c>
      <c r="D30" s="105"/>
      <c r="E30" s="105"/>
      <c r="F30" s="109"/>
    </row>
    <row r="31" spans="1:6" x14ac:dyDescent="0.25">
      <c r="A31" s="106"/>
      <c r="B31" s="105" t="s">
        <v>129</v>
      </c>
      <c r="C31" s="105">
        <v>5</v>
      </c>
      <c r="D31" s="105"/>
      <c r="E31" s="105"/>
      <c r="F31" s="109"/>
    </row>
    <row r="32" spans="1:6" x14ac:dyDescent="0.25">
      <c r="A32" s="106"/>
      <c r="B32" s="105" t="s">
        <v>266</v>
      </c>
      <c r="C32" s="105">
        <v>5</v>
      </c>
      <c r="D32" s="105"/>
      <c r="E32" s="105"/>
      <c r="F32" s="109"/>
    </row>
    <row r="33" spans="1:6" x14ac:dyDescent="0.25">
      <c r="A33" s="106"/>
      <c r="B33" s="105" t="s">
        <v>267</v>
      </c>
      <c r="C33" s="105">
        <v>5</v>
      </c>
      <c r="D33" s="105"/>
      <c r="E33" s="105"/>
      <c r="F33" s="109"/>
    </row>
    <row r="34" spans="1:6" x14ac:dyDescent="0.25">
      <c r="A34" s="106"/>
      <c r="B34" s="105" t="s">
        <v>268</v>
      </c>
      <c r="C34" s="105">
        <v>3</v>
      </c>
      <c r="D34" s="105"/>
      <c r="E34" s="105"/>
      <c r="F34" s="109"/>
    </row>
    <row r="35" spans="1:6" x14ac:dyDescent="0.25">
      <c r="A35" s="106"/>
      <c r="B35" s="105" t="s">
        <v>269</v>
      </c>
      <c r="C35" s="105">
        <v>4</v>
      </c>
      <c r="D35" s="105"/>
      <c r="E35" s="105"/>
      <c r="F35" s="109"/>
    </row>
    <row r="36" spans="1:6" x14ac:dyDescent="0.25">
      <c r="A36" s="106"/>
      <c r="B36" s="105" t="s">
        <v>270</v>
      </c>
      <c r="C36" s="105">
        <v>5</v>
      </c>
      <c r="D36" s="105"/>
      <c r="E36" s="105"/>
      <c r="F36" s="109"/>
    </row>
    <row r="37" spans="1:6" x14ac:dyDescent="0.25">
      <c r="A37" s="106"/>
      <c r="B37" s="105" t="s">
        <v>271</v>
      </c>
      <c r="C37" s="108" t="s">
        <v>289</v>
      </c>
      <c r="D37" s="105"/>
      <c r="E37" s="105"/>
      <c r="F37" s="109"/>
    </row>
    <row r="38" spans="1:6" x14ac:dyDescent="0.25">
      <c r="A38" s="106" t="s">
        <v>72</v>
      </c>
      <c r="B38" s="105" t="s">
        <v>272</v>
      </c>
      <c r="C38" s="105">
        <v>3</v>
      </c>
      <c r="D38" s="105"/>
      <c r="E38" s="105"/>
      <c r="F38" s="105"/>
    </row>
    <row r="39" spans="1:6" x14ac:dyDescent="0.25">
      <c r="A39" s="106"/>
      <c r="B39" s="105" t="s">
        <v>273</v>
      </c>
      <c r="C39" s="105">
        <v>5</v>
      </c>
      <c r="D39" s="105"/>
      <c r="E39" s="105"/>
      <c r="F39" s="105"/>
    </row>
    <row r="40" spans="1:6" x14ac:dyDescent="0.25">
      <c r="A40" s="106"/>
      <c r="B40" s="105" t="s">
        <v>274</v>
      </c>
      <c r="C40" s="105">
        <v>5</v>
      </c>
      <c r="D40" s="105"/>
      <c r="E40" s="105"/>
      <c r="F40" s="105"/>
    </row>
    <row r="41" spans="1:6" x14ac:dyDescent="0.25">
      <c r="A41" s="106"/>
      <c r="B41" s="105" t="s">
        <v>275</v>
      </c>
      <c r="C41" s="105">
        <v>5</v>
      </c>
      <c r="D41" s="105"/>
      <c r="E41" s="105"/>
      <c r="F41" s="105"/>
    </row>
    <row r="42" spans="1:6" x14ac:dyDescent="0.25">
      <c r="A42" s="106"/>
      <c r="B42" s="105" t="s">
        <v>276</v>
      </c>
      <c r="C42" s="105">
        <v>5</v>
      </c>
      <c r="D42" s="105"/>
      <c r="E42" s="105"/>
      <c r="F42" s="105"/>
    </row>
    <row r="43" spans="1:6" x14ac:dyDescent="0.25">
      <c r="A43" s="106"/>
      <c r="B43" s="105" t="s">
        <v>277</v>
      </c>
      <c r="C43" s="105">
        <v>5</v>
      </c>
      <c r="D43" s="105"/>
      <c r="E43" s="105"/>
      <c r="F43" s="105"/>
    </row>
    <row r="44" spans="1:6" x14ac:dyDescent="0.25">
      <c r="A44" s="106"/>
      <c r="B44" s="105" t="s">
        <v>278</v>
      </c>
      <c r="C44" s="105">
        <v>5</v>
      </c>
      <c r="D44" s="105"/>
      <c r="E44" s="105"/>
      <c r="F44" s="105"/>
    </row>
    <row r="45" spans="1:6" x14ac:dyDescent="0.25">
      <c r="A45" s="106"/>
      <c r="B45" s="105" t="s">
        <v>279</v>
      </c>
      <c r="C45" s="105">
        <v>5</v>
      </c>
      <c r="D45" s="105"/>
      <c r="E45" s="105"/>
      <c r="F45" s="105"/>
    </row>
    <row r="46" spans="1:6" x14ac:dyDescent="0.25">
      <c r="A46" s="106"/>
      <c r="B46" s="105" t="s">
        <v>280</v>
      </c>
      <c r="C46" s="105">
        <v>5</v>
      </c>
      <c r="D46" s="105"/>
      <c r="E46" s="105"/>
      <c r="F46" s="105"/>
    </row>
    <row r="47" spans="1:6" x14ac:dyDescent="0.25">
      <c r="A47" s="106" t="s">
        <v>281</v>
      </c>
      <c r="B47" s="105" t="s">
        <v>282</v>
      </c>
      <c r="C47" s="105">
        <v>5</v>
      </c>
      <c r="D47" s="105"/>
      <c r="E47" s="105"/>
      <c r="F47" s="105"/>
    </row>
    <row r="48" spans="1:6" x14ac:dyDescent="0.25">
      <c r="A48" s="106"/>
      <c r="B48" s="105" t="s">
        <v>283</v>
      </c>
      <c r="C48" s="105">
        <v>5</v>
      </c>
      <c r="D48" s="105"/>
      <c r="E48" s="105"/>
      <c r="F48" s="105"/>
    </row>
    <row r="49" spans="1:6" x14ac:dyDescent="0.25">
      <c r="A49" s="105"/>
      <c r="B49" s="105" t="s">
        <v>284</v>
      </c>
      <c r="C49" s="105">
        <v>5</v>
      </c>
      <c r="D49" s="105"/>
      <c r="E49" s="105"/>
      <c r="F49" s="105"/>
    </row>
    <row r="50" spans="1:6" x14ac:dyDescent="0.25">
      <c r="A50" s="105"/>
      <c r="B50" s="105" t="s">
        <v>285</v>
      </c>
      <c r="C50" s="105">
        <v>5</v>
      </c>
      <c r="D50" s="105"/>
      <c r="E50" s="105"/>
      <c r="F50" s="105"/>
    </row>
    <row r="51" spans="1:6" x14ac:dyDescent="0.25">
      <c r="A51" s="106" t="s">
        <v>286</v>
      </c>
      <c r="B51" s="105" t="s">
        <v>287</v>
      </c>
      <c r="C51" s="105">
        <v>5</v>
      </c>
      <c r="D51" s="105"/>
      <c r="E51" s="105"/>
      <c r="F51" s="105"/>
    </row>
    <row r="52" spans="1:6" x14ac:dyDescent="0.25">
      <c r="A52" s="106"/>
      <c r="B52" s="105" t="s">
        <v>288</v>
      </c>
      <c r="C52" s="105">
        <v>5</v>
      </c>
      <c r="D52" s="105"/>
      <c r="E52" s="105"/>
      <c r="F52" s="105"/>
    </row>
    <row r="53" spans="1:6" x14ac:dyDescent="0.25">
      <c r="A53" s="103"/>
    </row>
    <row r="54" spans="1:6" x14ac:dyDescent="0.25">
      <c r="A54" s="103"/>
    </row>
    <row r="55" spans="1:6" x14ac:dyDescent="0.25">
      <c r="A55" s="10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2ED2-9FBF-40A0-A73B-94DE33F16787}">
  <dimension ref="A1:AC137"/>
  <sheetViews>
    <sheetView showGridLines="0" topLeftCell="A90" zoomScale="85" zoomScaleNormal="85" workbookViewId="0">
      <selection activeCell="L110" sqref="L110"/>
    </sheetView>
  </sheetViews>
  <sheetFormatPr defaultRowHeight="15" x14ac:dyDescent="0.25"/>
  <cols>
    <col min="1" max="1" width="17.85546875" style="253" bestFit="1" customWidth="1"/>
    <col min="2" max="2" width="24.5703125" style="253" bestFit="1" customWidth="1"/>
    <col min="3" max="3" width="11.140625" style="253" bestFit="1" customWidth="1"/>
    <col min="4" max="4" width="25.140625" style="253" customWidth="1"/>
    <col min="5" max="5" width="23.28515625" style="253" customWidth="1"/>
    <col min="6" max="6" width="17" style="253" customWidth="1"/>
    <col min="7" max="7" width="16.42578125" style="253" bestFit="1" customWidth="1"/>
    <col min="8" max="8" width="19.5703125" style="253" bestFit="1" customWidth="1"/>
    <col min="9" max="9" width="11.140625" style="253" bestFit="1" customWidth="1"/>
    <col min="10" max="10" width="14.85546875" style="253" bestFit="1" customWidth="1"/>
    <col min="11" max="11" width="19.28515625" style="253" customWidth="1"/>
    <col min="12" max="12" width="19.140625" style="253" customWidth="1"/>
    <col min="13" max="13" width="16.7109375" style="253" customWidth="1"/>
    <col min="14" max="14" width="18.42578125" style="253" customWidth="1"/>
    <col min="15" max="15" width="24.42578125" style="253" customWidth="1"/>
    <col min="16" max="16" width="20.5703125" style="253" customWidth="1"/>
    <col min="17" max="17" width="17.42578125" style="253" bestFit="1" customWidth="1"/>
    <col min="18" max="18" width="15.28515625" style="253" bestFit="1" customWidth="1"/>
    <col min="19" max="19" width="13.28515625" style="253" customWidth="1"/>
    <col min="20" max="20" width="14" style="253" bestFit="1" customWidth="1"/>
    <col min="21" max="21" width="12" style="253" bestFit="1" customWidth="1"/>
    <col min="22" max="23" width="9.140625" style="253"/>
    <col min="24" max="24" width="12" style="253" customWidth="1"/>
    <col min="25" max="16384" width="9.140625" style="253"/>
  </cols>
  <sheetData>
    <row r="1" spans="1:29" x14ac:dyDescent="0.25">
      <c r="A1" s="252" t="s">
        <v>8</v>
      </c>
      <c r="B1" s="252" t="s">
        <v>337</v>
      </c>
      <c r="C1" s="252" t="s">
        <v>336</v>
      </c>
      <c r="D1" s="252" t="s">
        <v>71</v>
      </c>
      <c r="E1" s="252" t="s">
        <v>61</v>
      </c>
      <c r="F1" s="252" t="s">
        <v>25</v>
      </c>
      <c r="G1" s="252" t="s">
        <v>75</v>
      </c>
      <c r="H1" s="252" t="s">
        <v>377</v>
      </c>
      <c r="I1" s="252" t="s">
        <v>77</v>
      </c>
      <c r="J1" s="252" t="s">
        <v>73</v>
      </c>
      <c r="K1" s="252" t="s">
        <v>338</v>
      </c>
      <c r="L1" s="252" t="s">
        <v>339</v>
      </c>
      <c r="M1" s="252" t="s">
        <v>340</v>
      </c>
      <c r="N1" s="252" t="s">
        <v>341</v>
      </c>
      <c r="O1" s="279" t="s">
        <v>406</v>
      </c>
      <c r="P1" s="240"/>
      <c r="Q1" s="240"/>
      <c r="R1" s="240"/>
    </row>
    <row r="2" spans="1:29" x14ac:dyDescent="0.25">
      <c r="A2" s="254" t="str">
        <f>'Current Asset Allocation'!C147</f>
        <v>PAL63444B5A9</v>
      </c>
      <c r="B2" s="254" t="str">
        <f>'Current Asset Allocation'!A147</f>
        <v>Panama Bonos del Tesoro</v>
      </c>
      <c r="C2" s="248" t="e">
        <f>'Current Asset Allocation'!AG147</f>
        <v>#DIV/0!</v>
      </c>
      <c r="D2" s="249" t="str">
        <f>'Current Asset Allocation'!H147</f>
        <v>25/07/2033</v>
      </c>
      <c r="E2" s="248" t="str">
        <f>'Current Asset Allocation'!Z147</f>
        <v>Panama</v>
      </c>
      <c r="F2" s="248" t="str">
        <f>'Current Asset Allocation'!T147</f>
        <v>Government</v>
      </c>
      <c r="G2" s="250">
        <f>'Current Asset Allocation'!E147</f>
        <v>6.3750000000000001E-2</v>
      </c>
      <c r="H2" s="248">
        <f ca="1">'Current Asset Allocation'!F147</f>
        <v>7.8367039999999999E-2</v>
      </c>
      <c r="I2" s="251">
        <f>'Current Asset Allocation'!I147</f>
        <v>6.3524976421439883</v>
      </c>
      <c r="J2" s="254" t="str">
        <f>'Current Asset Allocation'!B147</f>
        <v>USD</v>
      </c>
      <c r="K2" s="254" t="str">
        <f>'Current Asset Allocation'!D147</f>
        <v>Baa3,BB+,BBB-</v>
      </c>
      <c r="L2" s="254" t="str" cm="1">
        <f t="array" ref="L2">_xll.BDP(A2&amp;" ISIN","RA007")</f>
        <v>BB+</v>
      </c>
      <c r="M2" s="254">
        <f>VLOOKUP(L2,$A$51:$D$69,4,0)</f>
        <v>7</v>
      </c>
      <c r="N2" s="254" t="str">
        <f>VLOOKUP(L2,$E$51:$F$69,2,0)</f>
        <v>HY</v>
      </c>
      <c r="O2" s="280">
        <f>'Current Asset Allocation'!AI147</f>
        <v>8.2573579739904179</v>
      </c>
      <c r="P2" s="255"/>
      <c r="Q2" s="256"/>
      <c r="X2" s="256"/>
    </row>
    <row r="3" spans="1:29" x14ac:dyDescent="0.25">
      <c r="A3" s="254" t="str">
        <f>'Current Asset Allocation'!C148</f>
        <v>US404280DT33</v>
      </c>
      <c r="B3" s="254" t="str">
        <f>'Current Asset Allocation'!A148</f>
        <v>#N/A Connection</v>
      </c>
      <c r="C3" s="248" t="e">
        <f>'Current Asset Allocation'!AG148</f>
        <v>#VALUE!</v>
      </c>
      <c r="D3" s="249" t="str">
        <f>'Current Asset Allocation'!H148</f>
        <v>#N/A Connection</v>
      </c>
      <c r="E3" s="248" t="str">
        <f>'Current Asset Allocation'!Z148</f>
        <v>United Kingdom</v>
      </c>
      <c r="F3" s="248" t="str">
        <f>'Current Asset Allocation'!T148</f>
        <v>#N/A Connection</v>
      </c>
      <c r="G3" s="250" t="e">
        <f>'Current Asset Allocation'!E148</f>
        <v>#VALUE!</v>
      </c>
      <c r="H3" s="248" t="e">
        <f ca="1">'Current Asset Allocation'!F148</f>
        <v>#VALUE!</v>
      </c>
      <c r="I3" s="251" t="str">
        <f>'Current Asset Allocation'!I148</f>
        <v>#N/A Connection</v>
      </c>
      <c r="J3" s="254" t="str">
        <f>'Current Asset Allocation'!B148</f>
        <v>#N/A Connection</v>
      </c>
      <c r="K3" s="254" t="str">
        <f>'Current Asset Allocation'!D148</f>
        <v>#N/A Connection,#N/A Connection,#N/A Connection</v>
      </c>
      <c r="L3" s="254" t="str" cm="1">
        <f t="array" ref="L3">_xll.BDP(A3&amp;" ISIN","RA007")</f>
        <v>#N/A Connection</v>
      </c>
      <c r="M3" s="254" t="e">
        <f>VLOOKUP(L3,$A$51:$D$69,4,0)</f>
        <v>#N/A</v>
      </c>
      <c r="N3" s="254" t="e">
        <f>VLOOKUP(L3,$E$51:$F$69,2,0)</f>
        <v>#N/A</v>
      </c>
      <c r="O3" s="280" t="str">
        <f>'Current Asset Allocation'!AI148</f>
        <v>#N/A Connection</v>
      </c>
      <c r="P3" s="255"/>
      <c r="Q3" s="256"/>
      <c r="X3" s="256"/>
    </row>
    <row r="4" spans="1:29" x14ac:dyDescent="0.25">
      <c r="A4" s="254" t="str">
        <f>'Current Asset Allocation'!C149</f>
        <v>XS2451768720</v>
      </c>
      <c r="B4" s="254" t="str">
        <f>'Current Asset Allocation'!A149</f>
        <v>QIC Cayman Ltd</v>
      </c>
      <c r="C4" s="248" t="e">
        <f>'Current Asset Allocation'!AG149</f>
        <v>#DIV/0!</v>
      </c>
      <c r="D4" s="249" t="str">
        <f>'Current Asset Allocation'!H149</f>
        <v>Perp</v>
      </c>
      <c r="E4" s="248" t="str">
        <f>'Current Asset Allocation'!Z149</f>
        <v>Qatar</v>
      </c>
      <c r="F4" s="248" t="str">
        <f>'Current Asset Allocation'!T149</f>
        <v>Financial</v>
      </c>
      <c r="G4" s="250">
        <f>'Current Asset Allocation'!E149</f>
        <v>6.7500000000000004E-2</v>
      </c>
      <c r="H4" s="248">
        <f ca="1">'Current Asset Allocation'!F149</f>
        <v>6.2107260000000004E-2</v>
      </c>
      <c r="I4" s="251">
        <f>'Current Asset Allocation'!I149</f>
        <v>2.6764248701443019</v>
      </c>
      <c r="J4" s="254" t="str">
        <f>'Current Asset Allocation'!B149</f>
        <v>USD</v>
      </c>
      <c r="K4" s="254" t="str">
        <f>'Current Asset Allocation'!D149</f>
        <v>N/A,N/A,BBB</v>
      </c>
      <c r="L4" s="286" t="s">
        <v>342</v>
      </c>
      <c r="M4" s="254">
        <f>VLOOKUP(L4,$A$51:$D$69,4,0)</f>
        <v>5</v>
      </c>
      <c r="N4" s="254" t="str">
        <f>VLOOKUP(L4,$E$51:$F$69,2,0)</f>
        <v>IG</v>
      </c>
      <c r="O4" s="280" t="str">
        <f>'Current Asset Allocation'!AI149</f>
        <v>Perp</v>
      </c>
      <c r="P4" s="255"/>
      <c r="Q4" s="256"/>
      <c r="X4" s="256"/>
    </row>
    <row r="5" spans="1:29" x14ac:dyDescent="0.25">
      <c r="A5" s="254"/>
      <c r="B5" s="254"/>
      <c r="C5" s="248"/>
      <c r="D5" s="249"/>
      <c r="E5" s="248"/>
      <c r="F5" s="248"/>
      <c r="G5" s="250"/>
      <c r="H5" s="248"/>
      <c r="I5" s="251"/>
      <c r="J5" s="254"/>
      <c r="K5" s="254"/>
      <c r="L5" s="254"/>
      <c r="M5" s="254"/>
      <c r="N5" s="254"/>
      <c r="O5" s="254"/>
      <c r="P5" s="255"/>
      <c r="Q5" s="256"/>
      <c r="X5" s="256"/>
    </row>
    <row r="6" spans="1:29" x14ac:dyDescent="0.25">
      <c r="A6" s="254"/>
      <c r="B6" s="254"/>
      <c r="C6" s="248"/>
      <c r="D6" s="249"/>
      <c r="E6" s="248"/>
      <c r="F6" s="248"/>
      <c r="G6" s="250"/>
      <c r="H6" s="248"/>
      <c r="I6" s="251"/>
      <c r="J6" s="254"/>
      <c r="K6" s="254"/>
      <c r="L6" s="254"/>
      <c r="M6" s="254"/>
      <c r="N6" s="254"/>
      <c r="O6" s="254"/>
      <c r="P6" s="255"/>
      <c r="Q6" s="256"/>
      <c r="X6" s="256"/>
    </row>
    <row r="7" spans="1:29" x14ac:dyDescent="0.25">
      <c r="A7" s="254"/>
      <c r="B7" s="254"/>
      <c r="C7" s="248"/>
      <c r="D7" s="249"/>
      <c r="E7" s="248"/>
      <c r="F7" s="248"/>
      <c r="G7" s="250"/>
      <c r="H7" s="248"/>
      <c r="I7" s="251"/>
      <c r="J7" s="254"/>
      <c r="K7" s="254"/>
      <c r="L7" s="254"/>
      <c r="M7" s="254"/>
      <c r="N7" s="254"/>
      <c r="O7" s="254"/>
      <c r="P7" s="255"/>
      <c r="Q7" s="256"/>
      <c r="X7" s="256"/>
    </row>
    <row r="8" spans="1:29" x14ac:dyDescent="0.25">
      <c r="A8" s="254"/>
      <c r="B8" s="254"/>
      <c r="C8" s="248"/>
      <c r="D8" s="249"/>
      <c r="E8" s="248"/>
      <c r="F8" s="248"/>
      <c r="G8" s="250"/>
      <c r="H8" s="248"/>
      <c r="I8" s="251"/>
      <c r="J8" s="254"/>
      <c r="K8" s="254"/>
      <c r="L8" s="254"/>
      <c r="M8" s="254"/>
      <c r="N8" s="254"/>
      <c r="O8" s="254"/>
      <c r="P8" s="255"/>
      <c r="Q8" s="256"/>
      <c r="X8" s="256"/>
    </row>
    <row r="9" spans="1:29" x14ac:dyDescent="0.25">
      <c r="A9" s="254"/>
      <c r="B9" s="254"/>
      <c r="C9" s="248"/>
      <c r="D9" s="249"/>
      <c r="E9" s="248"/>
      <c r="F9" s="248"/>
      <c r="G9" s="250"/>
      <c r="H9" s="248"/>
      <c r="I9" s="251"/>
      <c r="J9" s="254"/>
      <c r="K9" s="254"/>
      <c r="L9" s="254"/>
      <c r="M9" s="254"/>
      <c r="N9" s="254"/>
      <c r="O9" s="254"/>
      <c r="P9" s="255"/>
      <c r="Q9" s="256"/>
      <c r="X9" s="256"/>
    </row>
    <row r="10" spans="1:29" x14ac:dyDescent="0.25">
      <c r="A10" s="254"/>
      <c r="B10" s="254"/>
      <c r="C10" s="248"/>
      <c r="D10" s="249"/>
      <c r="E10" s="248"/>
      <c r="F10" s="248"/>
      <c r="G10" s="250"/>
      <c r="H10" s="248"/>
      <c r="I10" s="251"/>
      <c r="J10" s="254"/>
      <c r="K10" s="254"/>
      <c r="L10" s="254"/>
      <c r="M10" s="254"/>
      <c r="N10" s="254"/>
      <c r="O10" s="254"/>
      <c r="P10" s="255"/>
      <c r="Q10" s="256"/>
      <c r="X10" s="256"/>
    </row>
    <row r="11" spans="1:29" x14ac:dyDescent="0.25">
      <c r="A11" s="254"/>
      <c r="B11" s="254"/>
      <c r="C11" s="248"/>
      <c r="D11" s="249"/>
      <c r="E11" s="248"/>
      <c r="F11" s="248"/>
      <c r="G11" s="250"/>
      <c r="H11" s="248"/>
      <c r="I11" s="251"/>
      <c r="J11" s="254"/>
      <c r="K11" s="254"/>
      <c r="L11" s="254"/>
      <c r="M11" s="254"/>
      <c r="N11" s="254"/>
      <c r="O11" s="254"/>
      <c r="P11" s="255"/>
      <c r="Q11" s="256"/>
      <c r="X11" s="256"/>
      <c r="Z11"/>
    </row>
    <row r="12" spans="1:29" x14ac:dyDescent="0.25">
      <c r="A12" s="254"/>
      <c r="B12" s="254"/>
      <c r="C12" s="248"/>
      <c r="D12" s="249"/>
      <c r="E12" s="248"/>
      <c r="F12" s="248"/>
      <c r="G12" s="250"/>
      <c r="H12" s="248"/>
      <c r="I12" s="251"/>
      <c r="J12" s="254"/>
      <c r="K12" s="254"/>
      <c r="L12" s="254"/>
      <c r="M12" s="254"/>
      <c r="N12" s="254"/>
      <c r="O12" s="254"/>
      <c r="P12" s="255"/>
      <c r="Q12" s="256"/>
      <c r="X12" s="256"/>
      <c r="Z12"/>
      <c r="AA12"/>
      <c r="AC12"/>
    </row>
    <row r="13" spans="1:29" x14ac:dyDescent="0.25">
      <c r="A13" s="254"/>
      <c r="B13" s="254"/>
      <c r="C13" s="254"/>
      <c r="D13" s="249"/>
      <c r="E13" s="248"/>
      <c r="F13" s="248"/>
      <c r="G13" s="250"/>
      <c r="H13" s="248"/>
      <c r="I13" s="251"/>
      <c r="J13" s="254"/>
      <c r="K13" s="254"/>
      <c r="L13" s="254"/>
      <c r="M13" s="254"/>
      <c r="N13" s="254"/>
      <c r="O13" s="254"/>
      <c r="P13" s="255"/>
      <c r="Q13" s="256"/>
      <c r="X13" s="256"/>
      <c r="Z13"/>
      <c r="AA13"/>
      <c r="AC13"/>
    </row>
    <row r="14" spans="1:29" x14ac:dyDescent="0.25">
      <c r="A14" s="254"/>
      <c r="B14" s="254"/>
      <c r="C14" s="248"/>
      <c r="D14" s="249"/>
      <c r="E14" s="248"/>
      <c r="F14" s="248"/>
      <c r="G14" s="250"/>
      <c r="H14" s="248"/>
      <c r="I14" s="251"/>
      <c r="J14" s="254"/>
      <c r="K14" s="254"/>
      <c r="L14" s="254"/>
      <c r="M14" s="254"/>
      <c r="N14" s="254"/>
      <c r="O14" s="254"/>
      <c r="P14" s="255"/>
      <c r="Q14" s="256"/>
      <c r="X14" s="256"/>
      <c r="Z14"/>
      <c r="AA14"/>
      <c r="AC14"/>
    </row>
    <row r="15" spans="1:29" x14ac:dyDescent="0.25">
      <c r="A15" s="254"/>
      <c r="B15" s="254"/>
      <c r="C15" s="248"/>
      <c r="D15" s="249"/>
      <c r="E15" s="248"/>
      <c r="F15" s="248"/>
      <c r="G15" s="250"/>
      <c r="H15" s="248"/>
      <c r="I15" s="251"/>
      <c r="J15" s="254"/>
      <c r="K15" s="254"/>
      <c r="L15" s="254"/>
      <c r="M15" s="254"/>
      <c r="N15" s="254"/>
      <c r="O15" s="254"/>
      <c r="P15" s="255"/>
      <c r="Q15" s="256"/>
      <c r="X15" s="256"/>
      <c r="Z15"/>
      <c r="AA15"/>
      <c r="AC15"/>
    </row>
    <row r="16" spans="1:29" x14ac:dyDescent="0.25">
      <c r="A16" s="254"/>
      <c r="B16" s="254"/>
      <c r="C16" s="257"/>
      <c r="D16" s="258"/>
      <c r="E16" s="257"/>
      <c r="F16" s="257"/>
      <c r="G16" s="259"/>
      <c r="H16" s="257"/>
      <c r="I16" s="260"/>
      <c r="J16" s="254"/>
      <c r="K16" s="254"/>
      <c r="L16" s="254"/>
      <c r="M16" s="254"/>
      <c r="N16" s="254"/>
      <c r="O16" s="254"/>
      <c r="P16" s="255"/>
      <c r="Q16" s="256"/>
      <c r="X16" s="256"/>
      <c r="Z16"/>
      <c r="AA16"/>
      <c r="AC16"/>
    </row>
    <row r="17" spans="1:29" x14ac:dyDescent="0.25">
      <c r="A17" s="254"/>
      <c r="B17" s="254"/>
      <c r="C17" s="248"/>
      <c r="D17" s="249"/>
      <c r="E17" s="248"/>
      <c r="F17" s="248"/>
      <c r="G17" s="250"/>
      <c r="H17" s="248"/>
      <c r="I17" s="251"/>
      <c r="J17" s="254"/>
      <c r="K17" s="254"/>
      <c r="L17" s="254"/>
      <c r="M17" s="254"/>
      <c r="N17" s="254"/>
      <c r="O17" s="254"/>
      <c r="P17" s="255"/>
      <c r="Q17" s="256"/>
      <c r="X17" s="256"/>
      <c r="Z17"/>
      <c r="AA17"/>
      <c r="AC17"/>
    </row>
    <row r="18" spans="1:29" x14ac:dyDescent="0.25">
      <c r="A18" s="254"/>
      <c r="B18" s="254"/>
      <c r="C18" s="248"/>
      <c r="D18" s="249"/>
      <c r="E18" s="248"/>
      <c r="F18" s="248"/>
      <c r="G18" s="250"/>
      <c r="H18" s="248"/>
      <c r="I18" s="251"/>
      <c r="J18" s="254"/>
      <c r="K18" s="254"/>
      <c r="L18" s="254"/>
      <c r="M18" s="254"/>
      <c r="N18" s="254"/>
      <c r="O18" s="254"/>
      <c r="P18" s="255"/>
      <c r="Q18" s="256"/>
      <c r="X18" s="256"/>
      <c r="Z18"/>
      <c r="AA18"/>
      <c r="AC18"/>
    </row>
    <row r="19" spans="1:29" x14ac:dyDescent="0.25">
      <c r="A19" s="254"/>
      <c r="B19" s="254"/>
      <c r="C19" s="248"/>
      <c r="D19" s="249"/>
      <c r="E19" s="248"/>
      <c r="F19" s="248"/>
      <c r="G19" s="250"/>
      <c r="H19" s="248"/>
      <c r="I19" s="251"/>
      <c r="J19" s="254"/>
      <c r="K19" s="254"/>
      <c r="L19" s="254"/>
      <c r="M19" s="254"/>
      <c r="N19" s="254"/>
      <c r="O19" s="254"/>
      <c r="P19" s="255"/>
      <c r="Q19" s="256"/>
      <c r="X19" s="256"/>
      <c r="Z19"/>
      <c r="AA19"/>
      <c r="AC19"/>
    </row>
    <row r="20" spans="1:29" x14ac:dyDescent="0.25">
      <c r="A20" s="254"/>
      <c r="B20" s="254"/>
      <c r="C20" s="248"/>
      <c r="D20" s="249"/>
      <c r="E20" s="248"/>
      <c r="F20" s="248"/>
      <c r="G20" s="250"/>
      <c r="H20" s="248"/>
      <c r="I20" s="251"/>
      <c r="J20" s="254"/>
      <c r="K20" s="254"/>
      <c r="L20" s="254"/>
      <c r="M20" s="254"/>
      <c r="N20" s="254"/>
      <c r="O20" s="254"/>
      <c r="P20" s="255"/>
      <c r="Q20" s="256"/>
      <c r="X20" s="256"/>
      <c r="Z20"/>
      <c r="AA20"/>
      <c r="AC20"/>
    </row>
    <row r="21" spans="1:29" x14ac:dyDescent="0.25">
      <c r="A21" s="254"/>
      <c r="B21" s="254"/>
      <c r="C21" s="248"/>
      <c r="D21" s="249"/>
      <c r="E21" s="248"/>
      <c r="F21" s="248"/>
      <c r="G21" s="250"/>
      <c r="H21" s="248"/>
      <c r="I21" s="251"/>
      <c r="J21" s="254"/>
      <c r="K21" s="254"/>
      <c r="L21" s="254"/>
      <c r="M21" s="254"/>
      <c r="N21" s="254"/>
      <c r="O21" s="254"/>
      <c r="P21" s="255"/>
      <c r="Q21" s="256"/>
      <c r="X21" s="256"/>
      <c r="Z21"/>
      <c r="AA21"/>
      <c r="AC21"/>
    </row>
    <row r="22" spans="1:29" x14ac:dyDescent="0.25">
      <c r="A22" s="254"/>
      <c r="B22" s="254"/>
      <c r="C22" s="248"/>
      <c r="D22" s="249"/>
      <c r="E22" s="248"/>
      <c r="F22" s="248"/>
      <c r="G22" s="250"/>
      <c r="H22" s="248"/>
      <c r="I22" s="251"/>
      <c r="J22" s="254"/>
      <c r="K22" s="254"/>
      <c r="L22" s="254"/>
      <c r="M22" s="254"/>
      <c r="N22" s="254"/>
      <c r="O22" s="254"/>
      <c r="P22" s="255"/>
      <c r="Q22" s="256"/>
      <c r="X22" s="256"/>
      <c r="Z22"/>
      <c r="AA22"/>
      <c r="AC22"/>
    </row>
    <row r="23" spans="1:29" x14ac:dyDescent="0.25">
      <c r="A23" s="254"/>
      <c r="B23" s="254"/>
      <c r="C23" s="248"/>
      <c r="D23" s="249"/>
      <c r="E23" s="248"/>
      <c r="F23" s="248"/>
      <c r="G23" s="250"/>
      <c r="H23" s="248"/>
      <c r="I23" s="251"/>
      <c r="J23" s="254"/>
      <c r="K23" s="254"/>
      <c r="L23" s="254"/>
      <c r="M23" s="254"/>
      <c r="N23" s="254"/>
      <c r="O23" s="254"/>
      <c r="P23" s="255"/>
      <c r="Q23" s="256"/>
      <c r="X23" s="256"/>
      <c r="Z23"/>
      <c r="AA23"/>
      <c r="AC23"/>
    </row>
    <row r="24" spans="1:29" x14ac:dyDescent="0.25">
      <c r="A24" s="254"/>
      <c r="B24" s="254"/>
      <c r="C24" s="248"/>
      <c r="D24" s="249"/>
      <c r="E24" s="248"/>
      <c r="F24" s="248"/>
      <c r="G24" s="250"/>
      <c r="H24" s="248"/>
      <c r="I24" s="251"/>
      <c r="J24" s="254"/>
      <c r="K24" s="254"/>
      <c r="L24" s="254"/>
      <c r="M24" s="254"/>
      <c r="N24" s="254"/>
      <c r="O24" s="254"/>
      <c r="P24" s="255"/>
      <c r="Q24" s="256"/>
      <c r="X24" s="256"/>
      <c r="Z24"/>
      <c r="AA24"/>
      <c r="AC24"/>
    </row>
    <row r="25" spans="1:29" x14ac:dyDescent="0.25">
      <c r="A25" s="254"/>
      <c r="B25" s="254"/>
      <c r="C25" s="248"/>
      <c r="D25" s="249"/>
      <c r="E25" s="248"/>
      <c r="F25" s="248"/>
      <c r="G25" s="250"/>
      <c r="H25" s="248"/>
      <c r="I25" s="251"/>
      <c r="J25" s="254"/>
      <c r="K25" s="254"/>
      <c r="L25" s="254"/>
      <c r="M25" s="254"/>
      <c r="N25" s="254"/>
      <c r="O25" s="254"/>
      <c r="P25" s="255"/>
      <c r="Q25" s="256"/>
      <c r="X25" s="256"/>
      <c r="Z25"/>
      <c r="AA25"/>
      <c r="AC25"/>
    </row>
    <row r="26" spans="1:29" x14ac:dyDescent="0.25">
      <c r="A26" s="254"/>
      <c r="B26" s="254"/>
      <c r="C26" s="248"/>
      <c r="D26" s="249"/>
      <c r="E26" s="248"/>
      <c r="F26" s="248"/>
      <c r="G26" s="250"/>
      <c r="H26" s="248"/>
      <c r="I26" s="251"/>
      <c r="J26" s="254"/>
      <c r="K26" s="254"/>
      <c r="L26" s="254"/>
      <c r="M26" s="254"/>
      <c r="N26" s="254"/>
      <c r="O26" s="254"/>
      <c r="P26" s="255"/>
      <c r="Q26" s="256"/>
      <c r="X26" s="256"/>
      <c r="Z26"/>
      <c r="AA26"/>
      <c r="AC26"/>
    </row>
    <row r="27" spans="1:29" x14ac:dyDescent="0.25">
      <c r="A27" s="254"/>
      <c r="B27" s="254"/>
      <c r="C27" s="248"/>
      <c r="D27" s="249"/>
      <c r="E27" s="248"/>
      <c r="F27" s="248"/>
      <c r="G27" s="250"/>
      <c r="H27" s="248"/>
      <c r="I27" s="251"/>
      <c r="J27" s="254"/>
      <c r="K27" s="254"/>
      <c r="L27" s="254"/>
      <c r="M27" s="254"/>
      <c r="N27" s="254"/>
      <c r="O27" s="254"/>
      <c r="P27" s="255"/>
      <c r="Q27" s="256"/>
      <c r="X27" s="256"/>
      <c r="Z27"/>
      <c r="AA27"/>
      <c r="AC27"/>
    </row>
    <row r="28" spans="1:29" x14ac:dyDescent="0.25">
      <c r="A28" s="254"/>
      <c r="B28" s="254"/>
      <c r="C28" s="248"/>
      <c r="D28" s="249"/>
      <c r="E28" s="248"/>
      <c r="F28" s="248"/>
      <c r="G28" s="250"/>
      <c r="H28" s="248"/>
      <c r="I28" s="251"/>
      <c r="J28" s="254"/>
      <c r="K28" s="254"/>
      <c r="L28" s="254"/>
      <c r="M28" s="254"/>
      <c r="N28" s="254"/>
      <c r="O28" s="254"/>
      <c r="P28" s="255"/>
      <c r="Q28" s="256"/>
      <c r="X28" s="256"/>
      <c r="Z28"/>
      <c r="AA28"/>
      <c r="AC28"/>
    </row>
    <row r="29" spans="1:29" ht="15.75" thickBot="1" x14ac:dyDescent="0.3">
      <c r="A29" s="261"/>
      <c r="B29" s="261"/>
      <c r="C29" s="284" t="e">
        <f>SUM(C2:C28)</f>
        <v>#DIV/0!</v>
      </c>
      <c r="D29" s="261"/>
      <c r="E29" s="261"/>
      <c r="F29" s="261"/>
      <c r="G29" s="262" t="e">
        <f>SUMPRODUCT($C$2:$C$28,G2:G28)</f>
        <v>#DIV/0!</v>
      </c>
      <c r="H29" s="262" t="e">
        <f>SUMPRODUCT($C$2:$C$28,H2:H28)</f>
        <v>#DIV/0!</v>
      </c>
      <c r="I29" s="263" t="e">
        <f>SUMPRODUCT($C$2:$C$28,I2:I28)</f>
        <v>#DIV/0!</v>
      </c>
      <c r="J29" s="264"/>
      <c r="K29" s="261"/>
      <c r="L29" s="261"/>
      <c r="M29" s="263" t="e">
        <f>SUMPRODUCT($C$2:$C$28,M2:M28)</f>
        <v>#DIV/0!</v>
      </c>
      <c r="N29" s="261"/>
      <c r="O29" s="261"/>
      <c r="R29" s="256"/>
      <c r="V29"/>
      <c r="Z29"/>
      <c r="AA29"/>
      <c r="AC29"/>
    </row>
    <row r="30" spans="1:29" ht="15.75" thickTop="1" x14ac:dyDescent="0.25">
      <c r="C30" s="242"/>
      <c r="G30" s="242"/>
      <c r="H30" s="242"/>
      <c r="I30" s="243"/>
      <c r="J30" s="244"/>
      <c r="M30" s="243"/>
      <c r="R30" s="256"/>
      <c r="V30"/>
      <c r="Z30"/>
      <c r="AA30"/>
      <c r="AC30"/>
    </row>
    <row r="31" spans="1:29" x14ac:dyDescent="0.25">
      <c r="C31" s="242"/>
      <c r="G31" s="242"/>
      <c r="H31" s="242"/>
      <c r="I31" s="243"/>
      <c r="J31" s="244"/>
      <c r="M31" s="243"/>
      <c r="R31" s="256"/>
      <c r="V31"/>
      <c r="Z31"/>
      <c r="AA31"/>
      <c r="AC31"/>
    </row>
    <row r="32" spans="1:29" x14ac:dyDescent="0.25">
      <c r="A32" s="326" t="s">
        <v>393</v>
      </c>
      <c r="B32" s="326"/>
      <c r="C32" s="326"/>
      <c r="D32" s="326"/>
      <c r="E32" s="326"/>
      <c r="F32" s="326"/>
      <c r="G32" s="326"/>
      <c r="H32" s="326"/>
      <c r="I32" s="326"/>
      <c r="J32" s="326"/>
    </row>
    <row r="33" spans="1:29" x14ac:dyDescent="0.25">
      <c r="C33" s="242"/>
      <c r="G33" s="242"/>
      <c r="H33" s="242"/>
      <c r="I33" s="243"/>
      <c r="J33" s="244"/>
      <c r="M33" s="243"/>
      <c r="R33" s="256"/>
      <c r="V33"/>
      <c r="Z33"/>
      <c r="AA33"/>
      <c r="AC33"/>
    </row>
    <row r="34" spans="1:29" x14ac:dyDescent="0.25">
      <c r="A34" s="271" t="s">
        <v>343</v>
      </c>
      <c r="B34" s="271" t="s">
        <v>344</v>
      </c>
      <c r="C34" s="271" t="s">
        <v>336</v>
      </c>
      <c r="E34" s="271" t="s">
        <v>343</v>
      </c>
      <c r="F34" s="271" t="s">
        <v>336</v>
      </c>
      <c r="G34" s="242"/>
      <c r="H34" s="242"/>
      <c r="I34" s="243"/>
      <c r="J34" s="244"/>
      <c r="M34" s="243"/>
      <c r="R34" s="256"/>
      <c r="V34"/>
      <c r="Z34"/>
      <c r="AA34"/>
      <c r="AC34"/>
    </row>
    <row r="35" spans="1:29" x14ac:dyDescent="0.25">
      <c r="A35" s="270" t="s">
        <v>412</v>
      </c>
      <c r="B35" s="270">
        <f>COUNTIFS($O$2:$O$28,$A$35,$O$2:$O$28,$A$36)</f>
        <v>0</v>
      </c>
      <c r="C35" s="269">
        <f>SUMIFS($C$2:$C$28,$O$2:$O$28,$A$35,$O$2:$O$28,$A$36)</f>
        <v>0</v>
      </c>
      <c r="D35"/>
      <c r="E35" s="270" t="s">
        <v>407</v>
      </c>
      <c r="F35" s="269">
        <f>C35</f>
        <v>0</v>
      </c>
      <c r="V35"/>
      <c r="Z35"/>
      <c r="AA35"/>
      <c r="AC35"/>
    </row>
    <row r="36" spans="1:29" x14ac:dyDescent="0.25">
      <c r="A36" s="270" t="s">
        <v>413</v>
      </c>
      <c r="B36" s="270"/>
      <c r="C36" s="269"/>
      <c r="E36" s="270" t="s">
        <v>408</v>
      </c>
      <c r="F36" s="269">
        <f>C37</f>
        <v>0</v>
      </c>
    </row>
    <row r="37" spans="1:29" x14ac:dyDescent="0.25">
      <c r="A37" s="281" t="s">
        <v>418</v>
      </c>
      <c r="B37" s="270">
        <f>COUNTIFS($O$2:$O$28,$A$37,$O$2:$O$28,$A$38)</f>
        <v>0</v>
      </c>
      <c r="C37" s="269">
        <f>SUMIFS($C$2:$C$28,$O$2:$O$28,$A$37,$O$2:$O$28,$A$38)</f>
        <v>0</v>
      </c>
      <c r="D37"/>
      <c r="E37" s="281" t="s">
        <v>410</v>
      </c>
      <c r="F37" s="269">
        <f>C39</f>
        <v>0</v>
      </c>
      <c r="V37"/>
    </row>
    <row r="38" spans="1:29" x14ac:dyDescent="0.25">
      <c r="A38" s="281" t="s">
        <v>415</v>
      </c>
      <c r="B38" s="270"/>
      <c r="C38" s="269"/>
      <c r="D38"/>
      <c r="E38" s="281" t="s">
        <v>411</v>
      </c>
      <c r="F38" s="269" t="e">
        <f>C41</f>
        <v>#DIV/0!</v>
      </c>
      <c r="V38"/>
    </row>
    <row r="39" spans="1:29" x14ac:dyDescent="0.25">
      <c r="A39" s="270" t="s">
        <v>419</v>
      </c>
      <c r="B39" s="270">
        <f>COUNTIFS($O$2:$O$28,$A$39,$O$2:$O$28,$A$40)</f>
        <v>0</v>
      </c>
      <c r="C39" s="269">
        <f>SUMIFS($C$2:$C$28,$O$2:$O$28,$A$39,$O$2:$O$28,$A$40)</f>
        <v>0</v>
      </c>
      <c r="D39"/>
      <c r="E39" s="270" t="s">
        <v>409</v>
      </c>
      <c r="F39" s="269">
        <f>C43</f>
        <v>0</v>
      </c>
      <c r="H39" s="265"/>
      <c r="V39"/>
    </row>
    <row r="40" spans="1:29" x14ac:dyDescent="0.25">
      <c r="A40" s="270" t="s">
        <v>416</v>
      </c>
      <c r="B40" s="270"/>
      <c r="C40" s="269"/>
      <c r="D40"/>
      <c r="E40" s="270" t="s">
        <v>405</v>
      </c>
      <c r="F40" s="269" t="e">
        <f>C44</f>
        <v>#DIV/0!</v>
      </c>
      <c r="H40" s="265"/>
      <c r="V40"/>
    </row>
    <row r="41" spans="1:29" ht="15.75" thickBot="1" x14ac:dyDescent="0.3">
      <c r="A41" s="270" t="s">
        <v>420</v>
      </c>
      <c r="B41" s="270">
        <f>COUNTIFS($O$2:$O$28,$A$41,$O$2:$O$28,$A$42)</f>
        <v>1</v>
      </c>
      <c r="C41" s="269" t="e">
        <f>SUMIFS($C$2:$C$28,$O$2:$O$28,$A$41,$O$2:$O$28,$A$42)</f>
        <v>#DIV/0!</v>
      </c>
      <c r="D41"/>
      <c r="E41" s="262"/>
      <c r="F41" s="284" t="e">
        <f>SUM(F35:F40)</f>
        <v>#DIV/0!</v>
      </c>
      <c r="H41" s="265"/>
      <c r="V41"/>
    </row>
    <row r="42" spans="1:29" ht="15.75" thickTop="1" x14ac:dyDescent="0.25">
      <c r="A42" s="270" t="s">
        <v>414</v>
      </c>
      <c r="B42" s="270"/>
      <c r="C42" s="269"/>
      <c r="D42"/>
      <c r="E42"/>
      <c r="H42" s="265"/>
      <c r="V42"/>
    </row>
    <row r="43" spans="1:29" x14ac:dyDescent="0.25">
      <c r="A43" s="270" t="s">
        <v>421</v>
      </c>
      <c r="B43" s="270">
        <f>COUNTIF($O$2:$O$28,$A$43)</f>
        <v>0</v>
      </c>
      <c r="C43" s="269">
        <f>SUMIF($O$2:$O$28,$A$43,$C$2:$C$28)</f>
        <v>0</v>
      </c>
      <c r="D43"/>
      <c r="E43"/>
      <c r="H43" s="265"/>
      <c r="V43"/>
    </row>
    <row r="44" spans="1:29" x14ac:dyDescent="0.25">
      <c r="A44" s="270" t="s">
        <v>417</v>
      </c>
      <c r="B44" s="270">
        <f>COUNTIF($O$2:$O$28,$A$44)</f>
        <v>1</v>
      </c>
      <c r="C44" s="269" t="e">
        <f>SUMIF($O$2:$O$28,$A$44,$C$2:$C$28)</f>
        <v>#DIV/0!</v>
      </c>
      <c r="D44"/>
      <c r="E44"/>
      <c r="H44" s="265"/>
      <c r="R44"/>
      <c r="V44"/>
    </row>
    <row r="45" spans="1:29" ht="15.75" thickBot="1" x14ac:dyDescent="0.3">
      <c r="A45" s="261"/>
      <c r="B45" s="266">
        <f>SUM(B35:B44)</f>
        <v>2</v>
      </c>
      <c r="C45" s="284" t="e">
        <f>SUM(C35:C44)</f>
        <v>#DIV/0!</v>
      </c>
      <c r="E45" s="246"/>
      <c r="V45"/>
    </row>
    <row r="46" spans="1:29" ht="15.75" thickTop="1" x14ac:dyDescent="0.25">
      <c r="R46"/>
    </row>
    <row r="48" spans="1:29" x14ac:dyDescent="0.25">
      <c r="A48" s="326" t="s">
        <v>392</v>
      </c>
      <c r="B48" s="326"/>
      <c r="C48" s="326"/>
      <c r="D48" s="326"/>
      <c r="E48" s="326"/>
      <c r="F48" s="326"/>
      <c r="G48" s="326"/>
      <c r="H48" s="326"/>
      <c r="I48" s="326"/>
      <c r="J48" s="326"/>
    </row>
    <row r="51" spans="1:27" x14ac:dyDescent="0.25">
      <c r="A51" s="270" t="s">
        <v>345</v>
      </c>
      <c r="B51" s="270">
        <f t="shared" ref="B51:B68" si="0">COUNTIF($L$2:$L$28,A51)</f>
        <v>0</v>
      </c>
      <c r="C51" s="269">
        <f t="shared" ref="C51:C68" si="1">SUMIF($L$2:$L$28,A51,$C$2:$C$28)</f>
        <v>0</v>
      </c>
      <c r="D51" s="270">
        <v>1</v>
      </c>
      <c r="E51" s="270" t="s">
        <v>345</v>
      </c>
      <c r="F51" s="270" t="s">
        <v>346</v>
      </c>
      <c r="R51"/>
      <c r="AA51"/>
    </row>
    <row r="52" spans="1:27" x14ac:dyDescent="0.25">
      <c r="A52" s="270" t="s">
        <v>395</v>
      </c>
      <c r="B52" s="270">
        <f t="shared" ref="B52" si="2">COUNTIF($L$2:$L$28,A52)</f>
        <v>0</v>
      </c>
      <c r="C52" s="269">
        <f t="shared" ref="C52" si="3">SUMIF($L$2:$L$28,A52,$C$2:$C$28)</f>
        <v>0</v>
      </c>
      <c r="D52" s="270">
        <v>2</v>
      </c>
      <c r="E52" s="270" t="s">
        <v>395</v>
      </c>
      <c r="F52" s="270" t="s">
        <v>346</v>
      </c>
    </row>
    <row r="53" spans="1:27" x14ac:dyDescent="0.25">
      <c r="A53" s="270" t="s">
        <v>347</v>
      </c>
      <c r="B53" s="270">
        <f t="shared" si="0"/>
        <v>0</v>
      </c>
      <c r="C53" s="269">
        <f t="shared" si="1"/>
        <v>0</v>
      </c>
      <c r="D53" s="270">
        <v>3</v>
      </c>
      <c r="E53" s="270" t="s">
        <v>347</v>
      </c>
      <c r="F53" s="270" t="s">
        <v>346</v>
      </c>
      <c r="R53"/>
      <c r="AA53"/>
    </row>
    <row r="54" spans="1:27" x14ac:dyDescent="0.25">
      <c r="A54" s="270" t="s">
        <v>348</v>
      </c>
      <c r="B54" s="270">
        <f t="shared" si="0"/>
        <v>0</v>
      </c>
      <c r="C54" s="269">
        <f t="shared" si="1"/>
        <v>0</v>
      </c>
      <c r="D54" s="270">
        <v>4</v>
      </c>
      <c r="E54" s="270" t="s">
        <v>348</v>
      </c>
      <c r="F54" s="270" t="s">
        <v>346</v>
      </c>
      <c r="R54"/>
      <c r="AA54"/>
    </row>
    <row r="55" spans="1:27" x14ac:dyDescent="0.25">
      <c r="A55" s="270" t="s">
        <v>342</v>
      </c>
      <c r="B55" s="270">
        <f t="shared" si="0"/>
        <v>1</v>
      </c>
      <c r="C55" s="269" t="e">
        <f t="shared" si="1"/>
        <v>#DIV/0!</v>
      </c>
      <c r="D55" s="270">
        <v>5</v>
      </c>
      <c r="E55" s="270" t="s">
        <v>342</v>
      </c>
      <c r="F55" s="270" t="s">
        <v>346</v>
      </c>
      <c r="R55"/>
      <c r="AA55"/>
    </row>
    <row r="56" spans="1:27" x14ac:dyDescent="0.25">
      <c r="A56" s="270" t="s">
        <v>349</v>
      </c>
      <c r="B56" s="270">
        <f t="shared" si="0"/>
        <v>0</v>
      </c>
      <c r="C56" s="269">
        <f t="shared" si="1"/>
        <v>0</v>
      </c>
      <c r="D56" s="270">
        <v>6</v>
      </c>
      <c r="E56" s="270" t="s">
        <v>349</v>
      </c>
      <c r="F56" s="270" t="s">
        <v>346</v>
      </c>
      <c r="R56"/>
      <c r="AA56"/>
    </row>
    <row r="57" spans="1:27" x14ac:dyDescent="0.25">
      <c r="A57" s="270" t="s">
        <v>350</v>
      </c>
      <c r="B57" s="270">
        <f t="shared" si="0"/>
        <v>1</v>
      </c>
      <c r="C57" s="269" t="e">
        <f t="shared" si="1"/>
        <v>#DIV/0!</v>
      </c>
      <c r="D57" s="270">
        <v>7</v>
      </c>
      <c r="E57" s="270" t="s">
        <v>350</v>
      </c>
      <c r="F57" s="270" t="s">
        <v>351</v>
      </c>
      <c r="R57"/>
      <c r="AA57"/>
    </row>
    <row r="58" spans="1:27" x14ac:dyDescent="0.25">
      <c r="A58" s="270" t="s">
        <v>352</v>
      </c>
      <c r="B58" s="270">
        <f t="shared" si="0"/>
        <v>0</v>
      </c>
      <c r="C58" s="269">
        <f t="shared" si="1"/>
        <v>0</v>
      </c>
      <c r="D58" s="270">
        <v>8</v>
      </c>
      <c r="E58" s="270" t="s">
        <v>352</v>
      </c>
      <c r="F58" s="270" t="s">
        <v>351</v>
      </c>
      <c r="R58"/>
      <c r="AA58"/>
    </row>
    <row r="59" spans="1:27" x14ac:dyDescent="0.25">
      <c r="A59" s="270" t="s">
        <v>353</v>
      </c>
      <c r="B59" s="270">
        <f t="shared" si="0"/>
        <v>0</v>
      </c>
      <c r="C59" s="269">
        <f t="shared" si="1"/>
        <v>0</v>
      </c>
      <c r="D59" s="270">
        <v>9</v>
      </c>
      <c r="E59" s="270" t="s">
        <v>353</v>
      </c>
      <c r="F59" s="270" t="s">
        <v>351</v>
      </c>
      <c r="R59"/>
      <c r="AA59"/>
    </row>
    <row r="60" spans="1:27" x14ac:dyDescent="0.25">
      <c r="A60" s="270" t="s">
        <v>354</v>
      </c>
      <c r="B60" s="270">
        <f t="shared" si="0"/>
        <v>0</v>
      </c>
      <c r="C60" s="269">
        <f t="shared" si="1"/>
        <v>0</v>
      </c>
      <c r="D60" s="270">
        <v>10</v>
      </c>
      <c r="E60" s="270" t="s">
        <v>354</v>
      </c>
      <c r="F60" s="270" t="s">
        <v>351</v>
      </c>
      <c r="R60"/>
      <c r="AA60"/>
    </row>
    <row r="61" spans="1:27" x14ac:dyDescent="0.25">
      <c r="A61" s="270" t="s">
        <v>355</v>
      </c>
      <c r="B61" s="270">
        <f t="shared" si="0"/>
        <v>0</v>
      </c>
      <c r="C61" s="269">
        <f t="shared" si="1"/>
        <v>0</v>
      </c>
      <c r="D61" s="270">
        <v>11</v>
      </c>
      <c r="E61" s="270" t="s">
        <v>355</v>
      </c>
      <c r="F61" s="270" t="s">
        <v>351</v>
      </c>
      <c r="R61"/>
      <c r="AA61"/>
    </row>
    <row r="62" spans="1:27" x14ac:dyDescent="0.25">
      <c r="A62" s="270" t="s">
        <v>356</v>
      </c>
      <c r="B62" s="270">
        <f t="shared" si="0"/>
        <v>0</v>
      </c>
      <c r="C62" s="269">
        <f t="shared" si="1"/>
        <v>0</v>
      </c>
      <c r="D62" s="270">
        <v>12</v>
      </c>
      <c r="E62" s="270" t="s">
        <v>356</v>
      </c>
      <c r="F62" s="270" t="s">
        <v>351</v>
      </c>
      <c r="R62"/>
      <c r="AA62"/>
    </row>
    <row r="63" spans="1:27" x14ac:dyDescent="0.25">
      <c r="A63" s="270" t="s">
        <v>357</v>
      </c>
      <c r="B63" s="270">
        <f t="shared" si="0"/>
        <v>0</v>
      </c>
      <c r="C63" s="269">
        <f t="shared" si="1"/>
        <v>0</v>
      </c>
      <c r="D63" s="270">
        <v>13</v>
      </c>
      <c r="E63" s="270" t="s">
        <v>357</v>
      </c>
      <c r="F63" s="270" t="s">
        <v>351</v>
      </c>
      <c r="R63"/>
      <c r="AA63"/>
    </row>
    <row r="64" spans="1:27" x14ac:dyDescent="0.25">
      <c r="A64" s="270" t="s">
        <v>358</v>
      </c>
      <c r="B64" s="270">
        <f t="shared" si="0"/>
        <v>0</v>
      </c>
      <c r="C64" s="269">
        <f t="shared" si="1"/>
        <v>0</v>
      </c>
      <c r="D64" s="270">
        <v>14</v>
      </c>
      <c r="E64" s="270" t="s">
        <v>358</v>
      </c>
      <c r="F64" s="270" t="s">
        <v>351</v>
      </c>
      <c r="R64"/>
      <c r="AA64"/>
    </row>
    <row r="65" spans="1:27" x14ac:dyDescent="0.25">
      <c r="A65" s="270" t="s">
        <v>359</v>
      </c>
      <c r="B65" s="270">
        <f t="shared" si="0"/>
        <v>0</v>
      </c>
      <c r="C65" s="269">
        <f t="shared" si="1"/>
        <v>0</v>
      </c>
      <c r="D65" s="270">
        <v>15</v>
      </c>
      <c r="E65" s="270" t="s">
        <v>359</v>
      </c>
      <c r="F65" s="270" t="s">
        <v>351</v>
      </c>
      <c r="R65"/>
      <c r="AA65"/>
    </row>
    <row r="66" spans="1:27" x14ac:dyDescent="0.25">
      <c r="A66" s="270" t="s">
        <v>360</v>
      </c>
      <c r="B66" s="270">
        <f t="shared" si="0"/>
        <v>0</v>
      </c>
      <c r="C66" s="269">
        <f t="shared" si="1"/>
        <v>0</v>
      </c>
      <c r="D66" s="270">
        <v>16</v>
      </c>
      <c r="E66" s="270" t="s">
        <v>360</v>
      </c>
      <c r="F66" s="270" t="s">
        <v>351</v>
      </c>
      <c r="R66"/>
      <c r="AA66"/>
    </row>
    <row r="67" spans="1:27" x14ac:dyDescent="0.25">
      <c r="A67" s="270" t="s">
        <v>361</v>
      </c>
      <c r="B67" s="270">
        <f t="shared" si="0"/>
        <v>0</v>
      </c>
      <c r="C67" s="269">
        <f t="shared" si="1"/>
        <v>0</v>
      </c>
      <c r="D67" s="270">
        <v>17</v>
      </c>
      <c r="E67" s="270" t="s">
        <v>361</v>
      </c>
      <c r="F67" s="270" t="s">
        <v>351</v>
      </c>
      <c r="R67"/>
      <c r="AA67"/>
    </row>
    <row r="68" spans="1:27" x14ac:dyDescent="0.25">
      <c r="A68" s="270" t="s">
        <v>362</v>
      </c>
      <c r="B68" s="270">
        <f t="shared" si="0"/>
        <v>0</v>
      </c>
      <c r="C68" s="269">
        <f t="shared" si="1"/>
        <v>0</v>
      </c>
      <c r="D68" s="270">
        <v>18</v>
      </c>
      <c r="E68" s="270" t="s">
        <v>362</v>
      </c>
      <c r="F68" s="270" t="s">
        <v>351</v>
      </c>
      <c r="R68"/>
      <c r="AA68"/>
    </row>
    <row r="69" spans="1:27" ht="15.75" thickBot="1" x14ac:dyDescent="0.3">
      <c r="A69" s="261"/>
      <c r="B69" s="266">
        <f>SUM(B51:B59)</f>
        <v>2</v>
      </c>
      <c r="C69" s="284" t="e">
        <f>SUM(C51:C59)</f>
        <v>#DIV/0!</v>
      </c>
      <c r="D69" s="261"/>
      <c r="E69" s="267"/>
      <c r="F69" s="267"/>
      <c r="R69"/>
      <c r="AA69"/>
    </row>
    <row r="70" spans="1:27" ht="15.75" thickTop="1" x14ac:dyDescent="0.25">
      <c r="R70"/>
      <c r="AA70"/>
    </row>
    <row r="71" spans="1:27" x14ac:dyDescent="0.25">
      <c r="A71" s="240"/>
      <c r="R71"/>
      <c r="AA71"/>
    </row>
    <row r="72" spans="1:27" x14ac:dyDescent="0.25">
      <c r="A72" s="326" t="s">
        <v>394</v>
      </c>
      <c r="B72" s="326"/>
      <c r="C72" s="326"/>
      <c r="D72" s="326"/>
      <c r="E72" s="326"/>
      <c r="F72" s="326"/>
      <c r="G72" s="326"/>
      <c r="H72" s="326"/>
      <c r="I72" s="326"/>
      <c r="J72" s="326"/>
    </row>
    <row r="73" spans="1:27" x14ac:dyDescent="0.25">
      <c r="R73"/>
    </row>
    <row r="74" spans="1:27" x14ac:dyDescent="0.25">
      <c r="A74" s="271" t="s">
        <v>61</v>
      </c>
      <c r="B74" s="271" t="s">
        <v>363</v>
      </c>
      <c r="R74"/>
    </row>
    <row r="75" spans="1:27" x14ac:dyDescent="0.25">
      <c r="A75" s="283" t="s">
        <v>111</v>
      </c>
      <c r="B75" s="269">
        <f t="shared" ref="B75:B93" si="4">SUMIF($E$2:$E$28,A75,$C$2:$C$28)</f>
        <v>0</v>
      </c>
      <c r="R75"/>
    </row>
    <row r="76" spans="1:27" x14ac:dyDescent="0.25">
      <c r="A76" s="283" t="s">
        <v>369</v>
      </c>
      <c r="B76" s="269">
        <f t="shared" si="4"/>
        <v>0</v>
      </c>
      <c r="R76"/>
    </row>
    <row r="77" spans="1:27" x14ac:dyDescent="0.25">
      <c r="A77" s="283" t="s">
        <v>100</v>
      </c>
      <c r="B77" s="269">
        <f t="shared" si="4"/>
        <v>0</v>
      </c>
    </row>
    <row r="78" spans="1:27" x14ac:dyDescent="0.25">
      <c r="A78" s="283" t="s">
        <v>292</v>
      </c>
      <c r="B78" s="269">
        <f t="shared" si="4"/>
        <v>0</v>
      </c>
    </row>
    <row r="79" spans="1:27" x14ac:dyDescent="0.25">
      <c r="A79" s="283" t="s">
        <v>118</v>
      </c>
      <c r="B79" s="269">
        <f t="shared" si="4"/>
        <v>0</v>
      </c>
    </row>
    <row r="80" spans="1:27" x14ac:dyDescent="0.25">
      <c r="A80" s="283" t="s">
        <v>370</v>
      </c>
      <c r="B80" s="269">
        <f t="shared" si="4"/>
        <v>0</v>
      </c>
    </row>
    <row r="81" spans="1:2" x14ac:dyDescent="0.25">
      <c r="A81" s="283" t="s">
        <v>104</v>
      </c>
      <c r="B81" s="269">
        <f t="shared" si="4"/>
        <v>0</v>
      </c>
    </row>
    <row r="82" spans="1:2" x14ac:dyDescent="0.25">
      <c r="A82" s="283" t="s">
        <v>114</v>
      </c>
      <c r="B82" s="269">
        <f t="shared" si="4"/>
        <v>0</v>
      </c>
    </row>
    <row r="83" spans="1:2" x14ac:dyDescent="0.25">
      <c r="A83" s="283" t="s">
        <v>94</v>
      </c>
      <c r="B83" s="269" t="e">
        <f t="shared" si="4"/>
        <v>#VALUE!</v>
      </c>
    </row>
    <row r="84" spans="1:2" x14ac:dyDescent="0.25">
      <c r="A84" s="283" t="s">
        <v>371</v>
      </c>
      <c r="B84" s="269">
        <f t="shared" si="4"/>
        <v>0</v>
      </c>
    </row>
    <row r="85" spans="1:2" x14ac:dyDescent="0.25">
      <c r="A85" s="283" t="s">
        <v>108</v>
      </c>
      <c r="B85" s="269">
        <f t="shared" si="4"/>
        <v>0</v>
      </c>
    </row>
    <row r="86" spans="1:2" x14ac:dyDescent="0.25">
      <c r="A86" s="283" t="s">
        <v>372</v>
      </c>
      <c r="B86" s="269">
        <f t="shared" si="4"/>
        <v>0</v>
      </c>
    </row>
    <row r="87" spans="1:2" x14ac:dyDescent="0.25">
      <c r="A87" s="283" t="s">
        <v>373</v>
      </c>
      <c r="B87" s="269">
        <f t="shared" si="4"/>
        <v>0</v>
      </c>
    </row>
    <row r="88" spans="1:2" x14ac:dyDescent="0.25">
      <c r="A88" s="283" t="s">
        <v>115</v>
      </c>
      <c r="B88" s="269">
        <f t="shared" si="4"/>
        <v>0</v>
      </c>
    </row>
    <row r="89" spans="1:2" x14ac:dyDescent="0.25">
      <c r="A89" s="283" t="s">
        <v>113</v>
      </c>
      <c r="B89" s="269">
        <f t="shared" si="4"/>
        <v>0</v>
      </c>
    </row>
    <row r="90" spans="1:2" x14ac:dyDescent="0.25">
      <c r="A90" s="283" t="s">
        <v>296</v>
      </c>
      <c r="B90" s="269" t="e">
        <f t="shared" si="4"/>
        <v>#DIV/0!</v>
      </c>
    </row>
    <row r="91" spans="1:2" x14ac:dyDescent="0.25">
      <c r="A91" s="283" t="s">
        <v>119</v>
      </c>
      <c r="B91" s="269" t="e">
        <f t="shared" si="4"/>
        <v>#DIV/0!</v>
      </c>
    </row>
    <row r="92" spans="1:2" x14ac:dyDescent="0.25">
      <c r="A92" s="283" t="s">
        <v>297</v>
      </c>
      <c r="B92" s="269">
        <f t="shared" si="4"/>
        <v>0</v>
      </c>
    </row>
    <row r="93" spans="1:2" x14ac:dyDescent="0.25">
      <c r="A93" s="283" t="s">
        <v>97</v>
      </c>
      <c r="B93" s="269">
        <f t="shared" si="4"/>
        <v>0</v>
      </c>
    </row>
    <row r="94" spans="1:2" ht="15.75" thickBot="1" x14ac:dyDescent="0.3">
      <c r="A94" s="261"/>
      <c r="B94" s="285" t="e">
        <f>SUM(B75:B93)</f>
        <v>#VALUE!</v>
      </c>
    </row>
    <row r="95" spans="1:2" ht="15.75" thickTop="1" x14ac:dyDescent="0.25">
      <c r="B95" s="268"/>
    </row>
    <row r="96" spans="1:2" x14ac:dyDescent="0.25">
      <c r="A96" s="274"/>
      <c r="B96" s="268"/>
    </row>
    <row r="97" spans="1:13" x14ac:dyDescent="0.25">
      <c r="A97" s="274"/>
      <c r="B97" s="268"/>
    </row>
    <row r="98" spans="1:13" x14ac:dyDescent="0.25">
      <c r="A98" s="326" t="s">
        <v>391</v>
      </c>
      <c r="B98" s="326"/>
      <c r="C98" s="326"/>
      <c r="D98" s="326"/>
      <c r="E98" s="326"/>
      <c r="F98" s="326"/>
      <c r="G98" s="326"/>
      <c r="H98" s="326"/>
      <c r="I98" s="326"/>
      <c r="J98" s="326"/>
    </row>
    <row r="99" spans="1:13" x14ac:dyDescent="0.25">
      <c r="B99" s="268"/>
    </row>
    <row r="102" spans="1:13" x14ac:dyDescent="0.25">
      <c r="A102" s="269" t="s">
        <v>365</v>
      </c>
      <c r="B102" s="269" t="e">
        <f t="shared" ref="B102:B103" si="5">SUMIF($F$2:$F$28,A102,$C$2:$C$28)</f>
        <v>#DIV/0!</v>
      </c>
    </row>
    <row r="103" spans="1:13" x14ac:dyDescent="0.25">
      <c r="A103" s="269" t="s">
        <v>366</v>
      </c>
      <c r="B103" s="269" t="e">
        <f t="shared" si="5"/>
        <v>#DIV/0!</v>
      </c>
    </row>
    <row r="107" spans="1:13" x14ac:dyDescent="0.25">
      <c r="A107" s="324" t="s">
        <v>401</v>
      </c>
      <c r="B107" s="325"/>
    </row>
    <row r="108" spans="1:13" x14ac:dyDescent="0.25">
      <c r="A108" s="269" t="s">
        <v>365</v>
      </c>
    </row>
    <row r="109" spans="1:13" x14ac:dyDescent="0.25">
      <c r="A109" s="269" t="s">
        <v>366</v>
      </c>
      <c r="C109" s="241"/>
      <c r="K109"/>
    </row>
    <row r="110" spans="1:13" x14ac:dyDescent="0.25">
      <c r="A110" s="269" t="s">
        <v>364</v>
      </c>
      <c r="C110" s="241"/>
      <c r="D110"/>
      <c r="E110"/>
      <c r="K110"/>
      <c r="M110" s="241"/>
    </row>
    <row r="111" spans="1:13" x14ac:dyDescent="0.25">
      <c r="A111" s="269" t="s">
        <v>368</v>
      </c>
      <c r="C111" s="241"/>
      <c r="D111"/>
      <c r="E111"/>
      <c r="K111"/>
      <c r="M111" s="241"/>
    </row>
    <row r="112" spans="1:13" x14ac:dyDescent="0.25">
      <c r="A112" s="269" t="s">
        <v>403</v>
      </c>
      <c r="C112" s="241"/>
      <c r="D112"/>
      <c r="E112"/>
      <c r="K112"/>
      <c r="M112" s="241"/>
    </row>
    <row r="113" spans="1:14" x14ac:dyDescent="0.25">
      <c r="A113" s="269" t="s">
        <v>367</v>
      </c>
      <c r="C113" s="241"/>
      <c r="D113"/>
      <c r="E113"/>
      <c r="K113"/>
      <c r="M113" s="241"/>
    </row>
    <row r="114" spans="1:14" x14ac:dyDescent="0.25">
      <c r="A114" s="269" t="s">
        <v>385</v>
      </c>
      <c r="C114" s="241"/>
      <c r="D114"/>
      <c r="E114"/>
      <c r="K114"/>
      <c r="M114" s="241"/>
    </row>
    <row r="115" spans="1:14" x14ac:dyDescent="0.25">
      <c r="A115" s="269" t="s">
        <v>386</v>
      </c>
      <c r="C115" s="241"/>
      <c r="D115"/>
      <c r="E115"/>
      <c r="K115"/>
      <c r="M115" s="241"/>
    </row>
    <row r="116" spans="1:14" x14ac:dyDescent="0.25">
      <c r="A116" s="269" t="s">
        <v>387</v>
      </c>
      <c r="C116"/>
      <c r="D116"/>
      <c r="E116"/>
      <c r="K116"/>
      <c r="M116" s="241"/>
    </row>
    <row r="117" spans="1:14" x14ac:dyDescent="0.25">
      <c r="A117" s="269" t="s">
        <v>388</v>
      </c>
      <c r="C117"/>
      <c r="D117"/>
      <c r="E117"/>
      <c r="K117"/>
      <c r="M117" s="241"/>
    </row>
    <row r="118" spans="1:14" x14ac:dyDescent="0.25">
      <c r="A118" s="269" t="s">
        <v>389</v>
      </c>
      <c r="C118"/>
      <c r="D118"/>
      <c r="E118"/>
      <c r="K118"/>
      <c r="M118" s="241"/>
    </row>
    <row r="119" spans="1:14" x14ac:dyDescent="0.25">
      <c r="B119"/>
      <c r="C119"/>
      <c r="D119"/>
      <c r="E119"/>
      <c r="K119"/>
      <c r="M119" s="241"/>
    </row>
    <row r="120" spans="1:14" x14ac:dyDescent="0.25">
      <c r="B120"/>
      <c r="C120"/>
      <c r="D120"/>
      <c r="E120"/>
      <c r="K120"/>
      <c r="M120" s="241"/>
    </row>
    <row r="121" spans="1:14" x14ac:dyDescent="0.25">
      <c r="K121"/>
      <c r="M121" s="241"/>
    </row>
    <row r="122" spans="1:14" x14ac:dyDescent="0.25">
      <c r="K122"/>
      <c r="M122" s="241"/>
    </row>
    <row r="123" spans="1:14" x14ac:dyDescent="0.25">
      <c r="M123" s="241"/>
    </row>
    <row r="124" spans="1:14" x14ac:dyDescent="0.25">
      <c r="M124" s="241"/>
    </row>
    <row r="125" spans="1:14" x14ac:dyDescent="0.25">
      <c r="M125" s="241"/>
    </row>
    <row r="126" spans="1:14" x14ac:dyDescent="0.25">
      <c r="C126" s="245"/>
      <c r="D126" s="245"/>
      <c r="E126" s="245"/>
      <c r="F126" s="245"/>
      <c r="G126" s="245"/>
      <c r="H126" s="245"/>
      <c r="I126" s="245"/>
      <c r="J126" s="245"/>
      <c r="K126" s="245"/>
      <c r="L126" s="245"/>
      <c r="M126" s="241"/>
      <c r="N126" s="245"/>
    </row>
    <row r="127" spans="1:14" x14ac:dyDescent="0.25">
      <c r="C127" s="255"/>
      <c r="D127" s="255"/>
      <c r="E127" s="255"/>
      <c r="F127" s="255"/>
      <c r="G127" s="255"/>
      <c r="H127" s="255"/>
      <c r="I127" s="255"/>
      <c r="J127" s="255"/>
      <c r="K127" s="255"/>
      <c r="L127" s="255"/>
      <c r="M127"/>
      <c r="N127" s="255"/>
    </row>
    <row r="128" spans="1:14" x14ac:dyDescent="0.25">
      <c r="C128" s="255"/>
      <c r="D128" s="255"/>
      <c r="E128" s="255"/>
      <c r="F128" s="255"/>
      <c r="G128" s="255"/>
      <c r="H128" s="255"/>
      <c r="I128" s="255"/>
      <c r="J128" s="255"/>
      <c r="K128" s="255"/>
      <c r="L128" s="255"/>
      <c r="M128"/>
      <c r="N128" s="255"/>
    </row>
    <row r="129" spans="3:14" x14ac:dyDescent="0.25">
      <c r="M129"/>
    </row>
    <row r="130" spans="3:14" x14ac:dyDescent="0.25">
      <c r="M130"/>
    </row>
    <row r="131" spans="3:14" x14ac:dyDescent="0.25">
      <c r="C131" s="245"/>
      <c r="D131" s="245"/>
      <c r="E131" s="245"/>
      <c r="F131" s="245"/>
      <c r="G131" s="245"/>
      <c r="H131" s="245"/>
      <c r="I131" s="245"/>
      <c r="J131" s="245"/>
      <c r="K131" s="245"/>
      <c r="L131" s="245"/>
      <c r="M131"/>
      <c r="N131" s="245"/>
    </row>
    <row r="132" spans="3:14" x14ac:dyDescent="0.25">
      <c r="C132" s="255"/>
      <c r="D132" s="255"/>
      <c r="E132" s="255"/>
      <c r="F132" s="255"/>
      <c r="G132" s="255"/>
      <c r="H132" s="255"/>
      <c r="I132" s="255"/>
      <c r="J132" s="255"/>
      <c r="K132" s="255"/>
      <c r="L132" s="255"/>
      <c r="M132"/>
      <c r="N132" s="255"/>
    </row>
    <row r="133" spans="3:14" x14ac:dyDescent="0.25">
      <c r="C133" s="255"/>
      <c r="D133" s="255"/>
      <c r="E133" s="255"/>
      <c r="F133" s="255"/>
      <c r="G133" s="255"/>
      <c r="H133" s="255"/>
      <c r="I133" s="255"/>
      <c r="J133" s="255"/>
      <c r="K133" s="255"/>
      <c r="L133" s="255"/>
      <c r="M133"/>
      <c r="N133" s="255"/>
    </row>
    <row r="134" spans="3:14" x14ac:dyDescent="0.25">
      <c r="M134"/>
    </row>
    <row r="135" spans="3:14" x14ac:dyDescent="0.25">
      <c r="M135"/>
    </row>
    <row r="136" spans="3:14" x14ac:dyDescent="0.25">
      <c r="M136"/>
    </row>
    <row r="137" spans="3:14" x14ac:dyDescent="0.25">
      <c r="M137"/>
    </row>
  </sheetData>
  <mergeCells count="5">
    <mergeCell ref="A107:B107"/>
    <mergeCell ref="A98:J98"/>
    <mergeCell ref="A72:J72"/>
    <mergeCell ref="A48:J48"/>
    <mergeCell ref="A32:J32"/>
  </mergeCells>
  <pageMargins left="0.7" right="0.7" top="0.75" bottom="0.75" header="0.3" footer="0.3"/>
  <pageSetup orientation="portrait" r:id="rId1"/>
  <ignoredErrors>
    <ignoredError sqref="B51:D51 B75:B93 B102:B103 B53:D68 B52:C52 B42 B40 B38 B36 B35:C35 B37:C37 B39:C39 B41:C41 B43:B44 C43:C44 F35:F40" unlockedFormula="1"/>
    <ignoredError sqref="E38" twoDigitTextYear="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Current Asset Allocation</vt:lpstr>
      <vt:lpstr>PRR reference</vt:lpstr>
      <vt:lpstr>Bond Graph Data Sheet</vt:lpstr>
      <vt:lpstr>'Current Asset Allocation'!Print_Area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Rauman Trehaan</dc:creator>
  <cp:lastModifiedBy>FCL</cp:lastModifiedBy>
  <cp:lastPrinted>2024-07-10T06:12:18Z</cp:lastPrinted>
  <dcterms:created xsi:type="dcterms:W3CDTF">2024-05-23T12:22:16Z</dcterms:created>
  <dcterms:modified xsi:type="dcterms:W3CDTF">2025-04-22T10:21:04Z</dcterms:modified>
</cp:coreProperties>
</file>