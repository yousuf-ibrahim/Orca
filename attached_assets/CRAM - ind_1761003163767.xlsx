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updateLinks="never" codeName="ThisWorkbook" defaultThemeVersion="166925"/>
  <mc:AlternateContent xmlns:mc="http://schemas.openxmlformats.org/markup-compatibility/2006">
    <mc:Choice Requires="x15">
      <x15ac:absPath xmlns:x15ac="http://schemas.microsoft.com/office/spreadsheetml/2010/11/ac" url="Z:\Common\FCL Onboarding Forms\CURRENT VERSION - IN USE\Compliance Forms\"/>
    </mc:Choice>
  </mc:AlternateContent>
  <xr:revisionPtr revIDLastSave="0" documentId="13_ncr:1_{B0332037-D5EA-4CB0-99CF-9D3CCFA5C4CD}" xr6:coauthVersionLast="47" xr6:coauthVersionMax="47" xr10:uidLastSave="{00000000-0000-0000-0000-000000000000}"/>
  <bookViews>
    <workbookView xWindow="-120" yWindow="-120" windowWidth="29040" windowHeight="15720" tabRatio="855" activeTab="6" xr2:uid="{00000000-000D-0000-FFFF-FFFF00000000}"/>
  </bookViews>
  <sheets>
    <sheet name="Guidelines" sheetId="27" r:id="rId1"/>
    <sheet name="Working" sheetId="28" r:id="rId2"/>
    <sheet name="Calculation" sheetId="7" r:id="rId3"/>
    <sheet name="Sheet2" sheetId="34" state="hidden" r:id="rId4"/>
    <sheet name="Review Periodicity" sheetId="33" r:id="rId5"/>
    <sheet name="Customer Type Risk" sheetId="29" r:id="rId6"/>
    <sheet name="Country Risk" sheetId="9" r:id="rId7"/>
    <sheet name="Product Risk" sheetId="30" r:id="rId8"/>
    <sheet name="Service Risk" sheetId="31" r:id="rId9"/>
    <sheet name="Delivery Channel Risk" sheetId="32" r:id="rId10"/>
    <sheet name="Transaction Investigation Risk" sheetId="26" r:id="rId11"/>
  </sheets>
  <externalReferences>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s>
  <definedNames>
    <definedName name="_xlnm._FilterDatabase" localSheetId="6" hidden="1">'Country Risk'!$B$8:$J$262</definedName>
    <definedName name="_xlnm._FilterDatabase" localSheetId="5" hidden="1">'Customer Type Risk'!$G$9:$K$751</definedName>
    <definedName name="accper">Calculation!$C$10</definedName>
    <definedName name="AER" localSheetId="6">#REF!</definedName>
    <definedName name="AER">#REF!</definedName>
    <definedName name="AFFH" localSheetId="6">#REF!</definedName>
    <definedName name="AFFH">#REF!</definedName>
    <definedName name="AFS" localSheetId="6">#REF!</definedName>
    <definedName name="AFS">#REF!</definedName>
    <definedName name="AGCCJP" localSheetId="6">[1]Data!#REF!</definedName>
    <definedName name="AGCCJP">[2]Data!#REF!</definedName>
    <definedName name="Alternate_Nationality">#REF!</definedName>
    <definedName name="AltNationality_Score">Calculation!$B$14</definedName>
    <definedName name="AM" localSheetId="6">#REF!</definedName>
    <definedName name="AM">[3]Sector!#REF!</definedName>
    <definedName name="AML_Risk_level" localSheetId="10">#REF!</definedName>
    <definedName name="AML_Risk_level">#REF!</definedName>
    <definedName name="AML_Risk_Score">#REF!</definedName>
    <definedName name="amlo_range" localSheetId="9">'[4]Landing Page'!$C$11,'[4]Landing Page'!$C$15</definedName>
    <definedName name="amlo_range" localSheetId="7">'[4]Landing Page'!$C$11,'[4]Landing Page'!$C$15</definedName>
    <definedName name="amlo_range" localSheetId="8">'[4]Landing Page'!$C$11,'[4]Landing Page'!$C$15</definedName>
    <definedName name="amlo_range">'[5]Landing Page'!$C$11,'[5]Landing Page'!$C$12,'[5]Landing Page'!$C$15</definedName>
    <definedName name="AMLRO">#REF!</definedName>
    <definedName name="APA" localSheetId="6">#REF!</definedName>
    <definedName name="APA">[3]Sector!#REF!</definedName>
    <definedName name="ASWMRS" localSheetId="6">#REF!</definedName>
    <definedName name="ASWMRS">#REF!</definedName>
    <definedName name="Beneficiary_type">#REF!</definedName>
    <definedName name="BeneficiaryType_Score">Calculation!$B$10</definedName>
    <definedName name="BenfType">#REF!</definedName>
    <definedName name="BirthCountry_Score">Calculation!$B$12</definedName>
    <definedName name="BMGESD" localSheetId="6">#REF!</definedName>
    <definedName name="BMGESD">[3]Sector!#REF!</definedName>
    <definedName name="Branch_Code">#REF!</definedName>
    <definedName name="Branch_Name">#REF!</definedName>
    <definedName name="BTPM" localSheetId="6">#REF!</definedName>
    <definedName name="BTPM">[3]Sector!#REF!</definedName>
    <definedName name="CB" localSheetId="6">#REF!</definedName>
    <definedName name="CB">[3]Sector!#REF!</definedName>
    <definedName name="CCAS" localSheetId="6">#REF!</definedName>
    <definedName name="CCAS">[3]Sector!#REF!</definedName>
    <definedName name="CEPM" localSheetId="6">#REF!</definedName>
    <definedName name="CEPM">[3]Sector!#REF!</definedName>
    <definedName name="Channel_Info" localSheetId="9">'[4]Landing Page'!$C$57:$C$60,'[4]Landing Page'!$F$57:$F$60</definedName>
    <definedName name="Channel_Info" localSheetId="0">'[5]Landing Page'!$C$57:$C$60,'[5]Landing Page'!$F$57:$F$60</definedName>
    <definedName name="Channel_Info" localSheetId="7">'[4]Landing Page'!$C$57:$C$60,'[4]Landing Page'!$F$57:$F$60</definedName>
    <definedName name="Channel_Info" localSheetId="8">'[4]Landing Page'!$C$57:$C$60,'[4]Landing Page'!$F$57:$F$60</definedName>
    <definedName name="Channel_Info">'[6]Landing Page'!$C$63:$C$66,'[6]Landing Page'!$F$63:$F$66</definedName>
    <definedName name="CIQWBGuid" localSheetId="9" hidden="1">"0359ad20-c4a5-4ef3-987d-6ee23b65f54b"</definedName>
    <definedName name="CIQWBGuid" localSheetId="0" hidden="1">"0359ad20-c4a5-4ef3-987d-6ee23b65f54b"</definedName>
    <definedName name="CIQWBGuid" localSheetId="7" hidden="1">"0359ad20-c4a5-4ef3-987d-6ee23b65f54b"</definedName>
    <definedName name="CIQWBGuid" localSheetId="8" hidden="1">"0359ad20-c4a5-4ef3-987d-6ee23b65f54b"</definedName>
    <definedName name="CIQWBGuid" hidden="1">"f08edc5e-b430-43da-9940-b3bd4bbb10e7"</definedName>
    <definedName name="CM" localSheetId="6">#REF!</definedName>
    <definedName name="CM">[3]Sector!#REF!</definedName>
    <definedName name="Comments" localSheetId="9">'[4]Landing Page'!#REF!</definedName>
    <definedName name="Comments" localSheetId="0">'[5]Landing Page'!#REF!</definedName>
    <definedName name="Comments" localSheetId="7">'[4]Landing Page'!#REF!</definedName>
    <definedName name="Comments" localSheetId="8">'[4]Landing Page'!#REF!</definedName>
    <definedName name="Comments">#REF!</definedName>
    <definedName name="Construction" localSheetId="6">#REF!</definedName>
    <definedName name="Construction">#REF!</definedName>
    <definedName name="countr" localSheetId="6">[1]Data!$B$3:$B$164</definedName>
    <definedName name="countr" localSheetId="9">[7]Data!$B$3:$B$164</definedName>
    <definedName name="countr" localSheetId="0">[7]Data!$B$3:$B$164</definedName>
    <definedName name="countr" localSheetId="7">[7]Data!$B$3:$B$164</definedName>
    <definedName name="countr" localSheetId="8">[7]Data!$B$3:$B$164</definedName>
    <definedName name="countr">[2]Data!$B$3:$B$164</definedName>
    <definedName name="Country_EntityListed" localSheetId="9">'[4]Landing Page'!#REF!</definedName>
    <definedName name="Country_EntityListed" localSheetId="7">'[4]Landing Page'!#REF!</definedName>
    <definedName name="Country_EntityListed" localSheetId="8">'[4]Landing Page'!#REF!</definedName>
    <definedName name="Country_EntityListed">'[5]Landing Page'!#REF!</definedName>
    <definedName name="Country_of_Birth">#REF!</definedName>
    <definedName name="Country_of_Residence">#REF!</definedName>
    <definedName name="CountryRisk">'Country Risk'!$B$11:$J$261</definedName>
    <definedName name="CP" localSheetId="6">#REF!</definedName>
    <definedName name="CP">[3]Sector!#REF!</definedName>
    <definedName name="CR" localSheetId="9">[4]Calculation!$G$2</definedName>
    <definedName name="CR" localSheetId="0">[5]Calculation!$G$2</definedName>
    <definedName name="CR" localSheetId="7">[4]Calculation!$G$2</definedName>
    <definedName name="CR" localSheetId="8">[4]Calculation!$G$2</definedName>
    <definedName name="CR">Calculation!$G$2</definedName>
    <definedName name="_xlnm.Criteria" localSheetId="6">[8]DATA!#REF!</definedName>
    <definedName name="_xlnm.Criteria">[3]DATA!#REF!</definedName>
    <definedName name="criteria1" localSheetId="6">[8]DATA!#REF!</definedName>
    <definedName name="criteria1">[3]DATA!#REF!</definedName>
    <definedName name="CrossBorder" localSheetId="6">[8]DATA!#REF!</definedName>
    <definedName name="CrossBorder">[3]DATA!#REF!</definedName>
    <definedName name="CRR" localSheetId="9">[4]Calculation!$G$20</definedName>
    <definedName name="CRR" localSheetId="0">[5]Calculation!$G$20</definedName>
    <definedName name="CRR" localSheetId="7">[4]Calculation!$G$20</definedName>
    <definedName name="CRR" localSheetId="8">[4]Calculation!$G$20</definedName>
    <definedName name="CRR">Calculation!$G$19</definedName>
    <definedName name="CSF" localSheetId="6">[1]Data!#REF!</definedName>
    <definedName name="CSF">[2]Data!#REF!</definedName>
    <definedName name="cusseg">Calculation!$C$2</definedName>
    <definedName name="Customer_ID">#REF!</definedName>
    <definedName name="Customer_info">#REF!</definedName>
    <definedName name="Customer_Name">#REF!</definedName>
    <definedName name="Customer_Relationship">#REF!</definedName>
    <definedName name="Customer_Segment">#REF!</definedName>
    <definedName name="Customer_Status">#REF!</definedName>
    <definedName name="Customer_Type">#REF!</definedName>
    <definedName name="CustomerProfession">#REF!</definedName>
    <definedName name="CustomerRelationship_Info" localSheetId="9">'[4]Landing Page'!$C$78,'[4]Landing Page'!$C$79,'[4]Landing Page'!$C$81,'[4]Landing Page'!$C$82,'[4]Landing Page'!$F$78,'[4]Landing Page'!$F$79,'[4]Landing Page'!$F$81,'[4]Landing Page'!$F$82</definedName>
    <definedName name="CustomerRelationship_Info" localSheetId="0">'[5]Landing Page'!$C$78,'[5]Landing Page'!$C$79,'[5]Landing Page'!$C$81,'[5]Landing Page'!$C$82,'[5]Landing Page'!$F$78,'[5]Landing Page'!$F$79,'[5]Landing Page'!$F$81,'[5]Landing Page'!$F$82</definedName>
    <definedName name="CustomerRelationship_Info" localSheetId="7">'[4]Landing Page'!$C$78,'[4]Landing Page'!$C$79,'[4]Landing Page'!$C$81,'[4]Landing Page'!$C$82,'[4]Landing Page'!$F$78,'[4]Landing Page'!$F$79,'[4]Landing Page'!$F$81,'[4]Landing Page'!$F$82</definedName>
    <definedName name="CustomerRelationship_Info" localSheetId="8">'[4]Landing Page'!$C$78,'[4]Landing Page'!$C$79,'[4]Landing Page'!$C$81,'[4]Landing Page'!$C$82,'[4]Landing Page'!$F$78,'[4]Landing Page'!$F$79,'[4]Landing Page'!$F$81,'[4]Landing Page'!$F$82</definedName>
    <definedName name="CustomerRelationship_Info">'[6]Landing Page'!$C$82,'[6]Landing Page'!$C$83,'[6]Landing Page'!$C$85,'[6]Landing Page'!$C$86,'[6]Landing Page'!$F$82,'[6]Landing Page'!$F$83,'[6]Landing Page'!$F$85,'[6]Landing Page'!$F$86</definedName>
    <definedName name="CustomerRisk">#REF!</definedName>
    <definedName name="CustomersCountry_1" localSheetId="9">'[4]Landing Page'!#REF!</definedName>
    <definedName name="CustomersCountry_1" localSheetId="7">'[4]Landing Page'!#REF!</definedName>
    <definedName name="CustomersCountry_1" localSheetId="8">'[4]Landing Page'!#REF!</definedName>
    <definedName name="CustomersCountry_1">'[5]Landing Page'!#REF!</definedName>
    <definedName name="CustomersCountry_2" localSheetId="9">'[4]Landing Page'!#REF!</definedName>
    <definedName name="CustomersCountry_2" localSheetId="7">'[4]Landing Page'!#REF!</definedName>
    <definedName name="CustomersCountry_2" localSheetId="8">'[4]Landing Page'!#REF!</definedName>
    <definedName name="CustomersCountry_2">'[5]Landing Page'!#REF!</definedName>
    <definedName name="CustomersCountry_3" localSheetId="9">'[4]Landing Page'!#REF!</definedName>
    <definedName name="CustomersCountry_3" localSheetId="7">'[4]Landing Page'!#REF!</definedName>
    <definedName name="CustomersCountry_3" localSheetId="8">'[4]Landing Page'!#REF!</definedName>
    <definedName name="CustomersCountry_3">'[5]Landing Page'!#REF!</definedName>
    <definedName name="CustomerSeg_Score">Calculation!$B$2</definedName>
    <definedName name="CustomerType_Score">Calculation!#REF!</definedName>
    <definedName name="DisableFields" localSheetId="9">'[4]Landing Page'!$C$8,'[4]Landing Page'!$C$9,'[4]Landing Page'!$F$6,'[4]Landing Page'!$F$64,'[4]Landing Page'!$F$65,'[4]Landing Page'!$F$66,'[4]Landing Page'!$C$12</definedName>
    <definedName name="DisableFields" localSheetId="0">'[5]Landing Page'!$C$8,'[5]Landing Page'!$C$9,'[5]Landing Page'!$F$6,'[5]Landing Page'!$F$64,'[5]Landing Page'!$F$68,'[5]Landing Page'!$F$65,'[5]Landing Page'!$F$66,'[5]Landing Page'!$F$67,'[5]Landing Page'!$C$12</definedName>
    <definedName name="DisableFields" localSheetId="7">'[4]Landing Page'!$C$8,'[4]Landing Page'!$C$9,'[4]Landing Page'!$F$6,'[4]Landing Page'!$F$64,'[4]Landing Page'!$F$65,'[4]Landing Page'!$F$66,'[4]Landing Page'!$C$12</definedName>
    <definedName name="DisableFields" localSheetId="8">'[4]Landing Page'!$C$8,'[4]Landing Page'!$C$9,'[4]Landing Page'!$F$6,'[4]Landing Page'!$F$64,'[4]Landing Page'!$F$65,'[4]Landing Page'!$F$66,'[4]Landing Page'!$C$12</definedName>
    <definedName name="DisableFields">'[6]Landing Page'!$C$7,'[6]Landing Page'!$F$6,'[6]Landing Page'!$F$70,'[6]Landing Page'!$F$71</definedName>
    <definedName name="dual_nationality">#REF!</definedName>
    <definedName name="EAS" localSheetId="6">#REF!</definedName>
    <definedName name="EAS">[3]Sector!#REF!</definedName>
    <definedName name="EEACM" localSheetId="6">#REF!</definedName>
    <definedName name="EEACM">[3]Sector!#REF!</definedName>
    <definedName name="Emp_info">#REF!</definedName>
    <definedName name="Employee_ID">#REF!</definedName>
    <definedName name="Employment_Status">#REF!</definedName>
    <definedName name="empper">Calculation!$C$6</definedName>
    <definedName name="EmpStatus_Score">Calculation!$B$6</definedName>
    <definedName name="Entity_info" localSheetId="9">'[4]Landing Page'!$C$21,'[4]Landing Page'!#REF!,'[4]Landing Page'!#REF!,'[4]Landing Page'!#REF!,'[4]Landing Page'!#REF!</definedName>
    <definedName name="Entity_info" localSheetId="0">'[5]Landing Page'!$C$21,'[5]Landing Page'!#REF!,'[5]Landing Page'!#REF!,'[5]Landing Page'!#REF!,'[5]Landing Page'!#REF!</definedName>
    <definedName name="Entity_info" localSheetId="7">'[4]Landing Page'!$C$21,'[4]Landing Page'!#REF!,'[4]Landing Page'!#REF!,'[4]Landing Page'!#REF!,'[4]Landing Page'!#REF!</definedName>
    <definedName name="Entity_info" localSheetId="8">'[4]Landing Page'!$C$21,'[4]Landing Page'!#REF!,'[4]Landing Page'!#REF!,'[4]Landing Page'!#REF!,'[4]Landing Page'!#REF!</definedName>
    <definedName name="Entity_info">'[6]Landing Page'!$E$18,'[6]Landing Page'!$E$19,'[6]Landing Page'!$E$21:$E$23,'[6]Landing Page'!$E$25:$E$27,'[6]Landing Page'!$E$29:$E$31</definedName>
    <definedName name="EPGTD" localSheetId="6">#REF!</definedName>
    <definedName name="EPGTD">[3]Sector!#REF!</definedName>
    <definedName name="Existing" localSheetId="6">#REF!</definedName>
    <definedName name="Existing">#REF!</definedName>
    <definedName name="FBS" localSheetId="6">#REF!</definedName>
    <definedName name="FBS">[3]Sector!#REF!</definedName>
    <definedName name="FHFS" localSheetId="6">#REF!</definedName>
    <definedName name="FHFS">[3]Sector!#REF!</definedName>
    <definedName name="FHT" localSheetId="6">#REF!</definedName>
    <definedName name="FHT">[3]Sector!#REF!</definedName>
    <definedName name="FinalScore">Calculation!#REF!</definedName>
    <definedName name="FL" localSheetId="6">#REF!</definedName>
    <definedName name="FL">[3]Sector!#REF!</definedName>
    <definedName name="FM" localSheetId="6">#REF!</definedName>
    <definedName name="FM">[3]Sector!#REF!</definedName>
    <definedName name="FMPM" localSheetId="6">#REF!</definedName>
    <definedName name="FMPM">[3]Sector!#REF!</definedName>
    <definedName name="FNI" localSheetId="6">#REF!</definedName>
    <definedName name="FNI">#REF!</definedName>
    <definedName name="FRPM" localSheetId="6">#REF!</definedName>
    <definedName name="FRPM">[3]Sector!#REF!</definedName>
    <definedName name="fxcriteria" localSheetId="6">[8]DATA!#REF!</definedName>
    <definedName name="fxcriteria">[3]DATA!#REF!</definedName>
    <definedName name="GR" localSheetId="9">[4]Calculation!$G$11</definedName>
    <definedName name="GR" localSheetId="0">[5]Calculation!$G$11</definedName>
    <definedName name="GR" localSheetId="7">[4]Calculation!$G$11</definedName>
    <definedName name="GR" localSheetId="8">[4]Calculation!$G$11</definedName>
    <definedName name="GR">Calculation!$G$11</definedName>
    <definedName name="GS" localSheetId="6">#REF!</definedName>
    <definedName name="GS">[3]Sector!#REF!</definedName>
    <definedName name="HAS" localSheetId="6">#REF!</definedName>
    <definedName name="HAS">#REF!</definedName>
    <definedName name="HCEC" localSheetId="6">#REF!</definedName>
    <definedName name="HCEC">[3]Sector!#REF!</definedName>
    <definedName name="HNI">#REF!</definedName>
    <definedName name="HPCS" localSheetId="6">#REF!</definedName>
    <definedName name="HPCS">[3]Sector!#REF!</definedName>
    <definedName name="Individual">#REF!</definedName>
    <definedName name="Industry">#REF!</definedName>
    <definedName name="Industry_Score">Calculation!$B$8</definedName>
    <definedName name="IndustryRisk">#REF!</definedName>
    <definedName name="Information" localSheetId="6">#REF!</definedName>
    <definedName name="Information">#REF!</definedName>
    <definedName name="Investigation">#REF!</definedName>
    <definedName name="Justification_for_override">#REF!</definedName>
    <definedName name="KYC">'[6]Landing Page'!$F$71</definedName>
    <definedName name="LAPM" localSheetId="6">#REF!</definedName>
    <definedName name="LAPM">[3]Sector!#REF!</definedName>
    <definedName name="Manufacturing" localSheetId="6">#REF!</definedName>
    <definedName name="Manufacturing">#REF!</definedName>
    <definedName name="MEOG" localSheetId="6">#REF!</definedName>
    <definedName name="MEOG">[3]Sector!#REF!</definedName>
    <definedName name="MM" localSheetId="6">#REF!</definedName>
    <definedName name="MM">[3]Sector!#REF!</definedName>
    <definedName name="MQOGE" localSheetId="6">#REF!</definedName>
    <definedName name="MQOGE">#REF!</definedName>
    <definedName name="MVPD" localSheetId="6">#REF!</definedName>
    <definedName name="MVPD">[3]Sector!#REF!</definedName>
    <definedName name="MWDG" localSheetId="6">#REF!</definedName>
    <definedName name="MWDG">[3]Sector!#REF!</definedName>
    <definedName name="MWNDG" localSheetId="6">#REF!</definedName>
    <definedName name="MWNDG">[3]Sector!#REF!</definedName>
    <definedName name="natper">Calculation!$C$8</definedName>
    <definedName name="New_Customer" localSheetId="9">'[4]Landing Page'!$C$8,'[4]Landing Page'!$F$6,'[4]Landing Page'!$F$64,'[4]Landing Page'!$F$68</definedName>
    <definedName name="New_Customer" localSheetId="0">'[5]Landing Page'!$C$8,'[5]Landing Page'!$F$6,'[5]Landing Page'!$F$64,'[5]Landing Page'!$F$68</definedName>
    <definedName name="New_Customer" localSheetId="7">'[4]Landing Page'!$C$8,'[4]Landing Page'!$F$6,'[4]Landing Page'!$F$64,'[4]Landing Page'!$F$68</definedName>
    <definedName name="New_Customer" localSheetId="8">'[4]Landing Page'!$C$8,'[4]Landing Page'!$F$6,'[4]Landing Page'!$F$64,'[4]Landing Page'!$F$68</definedName>
    <definedName name="New_Customer">'[6]Landing Page'!$C$7,'[6]Landing Page'!$F$6,'[6]Landing Page'!$F$70,'[6]Landing Page'!$F$71</definedName>
    <definedName name="NMPM" localSheetId="6">#REF!</definedName>
    <definedName name="NMPM">[3]Sector!#REF!</definedName>
    <definedName name="nr" localSheetId="6">[8]DATA!#REF!</definedName>
    <definedName name="nr">[3]DATA!#REF!</definedName>
    <definedName name="nres" localSheetId="6">[8]DATA!#REF!</definedName>
    <definedName name="nres">[3]DATA!#REF!</definedName>
    <definedName name="Nxt_review_date">#REF!</definedName>
    <definedName name="Obtained_KYC">#REF!</definedName>
    <definedName name="OS" localSheetId="6">#REF!</definedName>
    <definedName name="OS">#REF!</definedName>
    <definedName name="PA" localSheetId="6">#REF!</definedName>
    <definedName name="PA">#REF!</definedName>
    <definedName name="PCPM" localSheetId="6">#REF!</definedName>
    <definedName name="PCPM">[3]Sector!#REF!</definedName>
    <definedName name="PEP_Score">Calculation!$B$4</definedName>
    <definedName name="PEP_Statjus">#REF!</definedName>
    <definedName name="PEP_Status">#REF!</definedName>
    <definedName name="pepper">Calculation!$C$4</definedName>
    <definedName name="PM" localSheetId="6">#REF!</definedName>
    <definedName name="PM">[3]Sector!#REF!</definedName>
    <definedName name="PMM" localSheetId="6">#REF!</definedName>
    <definedName name="PMM">[3]Sector!#REF!</definedName>
    <definedName name="PR" localSheetId="9">[4]Calculation!$G$16</definedName>
    <definedName name="PR" localSheetId="0">[5]Calculation!$G$16</definedName>
    <definedName name="PR" localSheetId="7">[4]Calculation!$G$16</definedName>
    <definedName name="PR" localSheetId="8">[4]Calculation!$G$16</definedName>
    <definedName name="PR">Calculation!$G$17</definedName>
    <definedName name="Prepared_By">#REF!</definedName>
    <definedName name="Prepration_Date">#REF!</definedName>
    <definedName name="Primary_Nationality">#REF!</definedName>
    <definedName name="PrmNationality_Score">Calculation!$B$13</definedName>
    <definedName name="Product_1">#REF!</definedName>
    <definedName name="Product_2">#REF!</definedName>
    <definedName name="Product_3">#REF!</definedName>
    <definedName name="Product_4">#REF!</definedName>
    <definedName name="Product_Info">#REF!</definedName>
    <definedName name="Products_Range">'[6]Products and Services Risk'!$B$11:$C$64</definedName>
    <definedName name="Profession">#REF!</definedName>
    <definedName name="Profession_Score">Calculation!$B$7</definedName>
    <definedName name="Profper">Calculation!$C$7</definedName>
    <definedName name="PRPM" localSheetId="6">#REF!</definedName>
    <definedName name="PRPM">[3]Sector!#REF!</definedName>
    <definedName name="PRSA" localSheetId="6">#REF!</definedName>
    <definedName name="PRSA">[3]Sector!#REF!</definedName>
    <definedName name="PSTS" localSheetId="6">#REF!</definedName>
    <definedName name="PSTS">#REF!</definedName>
    <definedName name="Relation_initiation_method_1" localSheetId="10">'[9]Landing Page'!$C$35</definedName>
    <definedName name="Relation_initiation_method_1">#REF!</definedName>
    <definedName name="Relation_initiation_method_2" localSheetId="10">'[9]Landing Page'!$C$36</definedName>
    <definedName name="Relation_initiation_method_2">#REF!</definedName>
    <definedName name="Relation_initiation_method_3" localSheetId="10">'[9]Landing Page'!$C$37</definedName>
    <definedName name="Relation_initiation_method_3">#REF!</definedName>
    <definedName name="Relation_initiation_method_4" localSheetId="10">'[9]Landing Page'!$C$38</definedName>
    <definedName name="Relation_initiation_method_4">#REF!</definedName>
    <definedName name="RERL" localSheetId="6">#REF!</definedName>
    <definedName name="RERL">#REF!</definedName>
    <definedName name="ResidenceCountry_Score">Calculation!$B$11</definedName>
    <definedName name="Residency_Status">#REF!</definedName>
    <definedName name="ResidencyStatus_Score">Calculation!$B$5</definedName>
    <definedName name="resper">Calculation!$C$5</definedName>
    <definedName name="Review_Date" localSheetId="10">#REF!</definedName>
    <definedName name="Review_Date">#REF!</definedName>
    <definedName name="Review_frequency">#REF!</definedName>
    <definedName name="Reviewed_by">#REF!</definedName>
    <definedName name="RT" localSheetId="6">#REF!</definedName>
    <definedName name="RT">#REF!</definedName>
    <definedName name="SAAF" localSheetId="6">#REF!</definedName>
    <definedName name="SAAF">[3]Sector!#REF!</definedName>
    <definedName name="Scenario_Risk">#REF!</definedName>
    <definedName name="Score_Range">Calculation!$B$2:$B$14</definedName>
    <definedName name="ScoreRange">[6]Calculation!$B$2:$B$13,[6]Calculation!$B$18,[6]Calculation!$B$19</definedName>
    <definedName name="Screening">#REF!</definedName>
    <definedName name="Service_Delivery_Method_1" localSheetId="10">'[9]Landing Page'!$F$35</definedName>
    <definedName name="Service_Delivery_Method_1">#REF!</definedName>
    <definedName name="Service_Delivery_Method_2" localSheetId="10">'[9]Landing Page'!$F$36</definedName>
    <definedName name="Service_Delivery_Method_2">#REF!</definedName>
    <definedName name="Service_Delivery_Method_3" localSheetId="10">'[9]Landing Page'!$F$37</definedName>
    <definedName name="Service_Delivery_Method_3">#REF!</definedName>
    <definedName name="Service_Delivery_Method_4" localSheetId="10">'[9]Landing Page'!$F$38</definedName>
    <definedName name="Service_Delivery_Method_4">#REF!</definedName>
    <definedName name="SGHMIBS" localSheetId="6">#REF!</definedName>
    <definedName name="SGHMIBS">[3]Sector!#REF!</definedName>
    <definedName name="STC" localSheetId="6">#REF!</definedName>
    <definedName name="STC">[3]Sector!#REF!</definedName>
    <definedName name="STR">#REF!</definedName>
    <definedName name="SuppliersCountry_1" localSheetId="9">'[4]Landing Page'!#REF!</definedName>
    <definedName name="SuppliersCountry_1" localSheetId="7">'[4]Landing Page'!#REF!</definedName>
    <definedName name="SuppliersCountry_1" localSheetId="8">'[4]Landing Page'!#REF!</definedName>
    <definedName name="SuppliersCountry_1">'[5]Landing Page'!#REF!</definedName>
    <definedName name="SuppliersCountry_2" localSheetId="9">'[4]Landing Page'!#REF!</definedName>
    <definedName name="SuppliersCountry_2" localSheetId="7">'[4]Landing Page'!#REF!</definedName>
    <definedName name="SuppliersCountry_2" localSheetId="8">'[4]Landing Page'!#REF!</definedName>
    <definedName name="SuppliersCountry_2">'[5]Landing Page'!#REF!</definedName>
    <definedName name="SuppliersCountry_3" localSheetId="9">'[4]Landing Page'!#REF!</definedName>
    <definedName name="SuppliersCountry_3" localSheetId="7">'[4]Landing Page'!#REF!</definedName>
    <definedName name="SuppliersCountry_3" localSheetId="8">'[4]Landing Page'!#REF!</definedName>
    <definedName name="SuppliersCountry_3">'[5]Landing Page'!#REF!</definedName>
    <definedName name="TEM" localSheetId="6">#REF!</definedName>
    <definedName name="TEM">[3]Sector!#REF!</definedName>
    <definedName name="TM" localSheetId="6">#REF!</definedName>
    <definedName name="TM">[3]Sector!#REF!</definedName>
    <definedName name="TNW" localSheetId="6">#REF!</definedName>
    <definedName name="TNW">#REF!</definedName>
    <definedName name="TR" localSheetId="9">[4]Calculation!$G$28</definedName>
    <definedName name="TR" localSheetId="0">[5]Calculation!$G$28</definedName>
    <definedName name="TR" localSheetId="7">[4]Calculation!$G$28</definedName>
    <definedName name="TR" localSheetId="8">[4]Calculation!$G$28</definedName>
    <definedName name="TR">Calculation!#REF!</definedName>
    <definedName name="tranper">Calculation!$C$3</definedName>
    <definedName name="Transaction_patterns">#REF!</definedName>
    <definedName name="Transaction_trend">#REF!</definedName>
    <definedName name="Transaction_Type">#REF!</definedName>
    <definedName name="TransactionScore">Calculation!$B$3</definedName>
    <definedName name="TransactionValue">#REF!</definedName>
    <definedName name="TransactionValueRange" localSheetId="9">'[4]Customer Type'!$C$60:$C$62</definedName>
    <definedName name="TransactionValueRange" localSheetId="0">'[5]Customer Type'!$C$60:$C$62</definedName>
    <definedName name="TransactionValueRange" localSheetId="7">'[4]Customer Type'!$C$60:$C$62</definedName>
    <definedName name="TransactionValueRange" localSheetId="8">'[4]Customer Type'!$C$60:$C$62</definedName>
    <definedName name="TransactionValueRange" localSheetId="10">'[9]Customer Type'!$C$70:$C$72</definedName>
    <definedName name="TransactionValueRange">#REF!</definedName>
    <definedName name="TransactionValueScore">#REF!</definedName>
    <definedName name="Type_of_event_for_existing_cutomer">#REF!</definedName>
    <definedName name="User_Name">#REF!</definedName>
    <definedName name="Utilities" localSheetId="6">#REF!</definedName>
    <definedName name="Utilities">#REF!</definedName>
    <definedName name="WEMAB" localSheetId="6">#REF!</definedName>
    <definedName name="WEMAB">[3]Sector!#REF!</definedName>
    <definedName name="WPM" localSheetId="6">#REF!</definedName>
    <definedName name="WPM">[3]Sector!#REF!</definedName>
    <definedName name="WSOS" localSheetId="6">#REF!</definedName>
    <definedName name="WSOS">[3]Sector!#REF!</definedName>
    <definedName name="WT" localSheetId="6">#REF!</definedName>
    <definedName name="WT">#REF!</definedName>
    <definedName name="YES" localSheetId="6">[10]DATA!#REF!</definedName>
    <definedName name="YES">[3]DATA!#REF!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 i="7" l="1"/>
  <c r="N19" i="32"/>
  <c r="L19" i="32"/>
  <c r="J19" i="32"/>
  <c r="H19" i="32"/>
  <c r="F19" i="32"/>
  <c r="C19" i="32" s="1"/>
  <c r="D19" i="32" s="1"/>
  <c r="N18" i="32"/>
  <c r="L18" i="32"/>
  <c r="J18" i="32"/>
  <c r="H18" i="32"/>
  <c r="F18" i="32"/>
  <c r="C18" i="32" s="1"/>
  <c r="D18" i="32" s="1"/>
  <c r="N17" i="32"/>
  <c r="L17" i="32"/>
  <c r="J17" i="32"/>
  <c r="H17" i="32"/>
  <c r="F17" i="32"/>
  <c r="C17" i="32" s="1"/>
  <c r="D17" i="32" s="1"/>
  <c r="M15" i="32"/>
  <c r="K15" i="32"/>
  <c r="I15" i="32"/>
  <c r="G15" i="32"/>
  <c r="E15" i="32"/>
  <c r="N7" i="32"/>
  <c r="L7" i="32"/>
  <c r="J7" i="32"/>
  <c r="H7" i="32"/>
  <c r="F7" i="32"/>
  <c r="N6" i="32"/>
  <c r="L6" i="32"/>
  <c r="J6" i="32"/>
  <c r="H6" i="32"/>
  <c r="F6" i="32"/>
  <c r="N5" i="32"/>
  <c r="L5" i="32"/>
  <c r="J5" i="32"/>
  <c r="H5" i="32"/>
  <c r="F5" i="32"/>
  <c r="C5" i="32" s="1"/>
  <c r="D5" i="32" s="1"/>
  <c r="M3" i="32"/>
  <c r="K3" i="32"/>
  <c r="I3" i="32"/>
  <c r="G3" i="32"/>
  <c r="C7" i="32" s="1"/>
  <c r="D7" i="32" s="1"/>
  <c r="E3" i="32"/>
  <c r="R18" i="31"/>
  <c r="P18" i="31"/>
  <c r="N18" i="31"/>
  <c r="L18" i="31"/>
  <c r="J18" i="31"/>
  <c r="H18" i="31"/>
  <c r="F18" i="31"/>
  <c r="R17" i="31"/>
  <c r="P17" i="31"/>
  <c r="N17" i="31"/>
  <c r="L17" i="31"/>
  <c r="J17" i="31"/>
  <c r="H17" i="31"/>
  <c r="F17" i="31"/>
  <c r="R16" i="31"/>
  <c r="P16" i="31"/>
  <c r="N16" i="31"/>
  <c r="L16" i="31"/>
  <c r="J16" i="31"/>
  <c r="H16" i="31"/>
  <c r="F16" i="31"/>
  <c r="R15" i="31"/>
  <c r="P15" i="31"/>
  <c r="N15" i="31"/>
  <c r="L15" i="31"/>
  <c r="J15" i="31"/>
  <c r="H15" i="31"/>
  <c r="F15" i="31"/>
  <c r="R14" i="31"/>
  <c r="P14" i="31"/>
  <c r="N14" i="31"/>
  <c r="L14" i="31"/>
  <c r="J14" i="31"/>
  <c r="H14" i="31"/>
  <c r="F14" i="31"/>
  <c r="R13" i="31"/>
  <c r="P13" i="31"/>
  <c r="N13" i="31"/>
  <c r="L13" i="31"/>
  <c r="J13" i="31"/>
  <c r="H13" i="31"/>
  <c r="F13" i="31"/>
  <c r="R12" i="31"/>
  <c r="P12" i="31"/>
  <c r="N12" i="31"/>
  <c r="L12" i="31"/>
  <c r="J12" i="31"/>
  <c r="H12" i="31"/>
  <c r="F12" i="31"/>
  <c r="Q10" i="31"/>
  <c r="O10" i="31"/>
  <c r="M10" i="31"/>
  <c r="K10" i="31"/>
  <c r="I10" i="31"/>
  <c r="G10" i="31"/>
  <c r="C14" i="31" s="1"/>
  <c r="D14" i="31" s="1"/>
  <c r="E10" i="31"/>
  <c r="C17" i="31" s="1"/>
  <c r="D17" i="31" s="1"/>
  <c r="V24" i="30"/>
  <c r="T24" i="30"/>
  <c r="R24" i="30"/>
  <c r="P24" i="30"/>
  <c r="N24" i="30"/>
  <c r="L24" i="30"/>
  <c r="J24" i="30"/>
  <c r="H24" i="30"/>
  <c r="F24" i="30"/>
  <c r="V23" i="30"/>
  <c r="T23" i="30"/>
  <c r="R23" i="30"/>
  <c r="P23" i="30"/>
  <c r="N23" i="30"/>
  <c r="L23" i="30"/>
  <c r="J23" i="30"/>
  <c r="H23" i="30"/>
  <c r="F23" i="30"/>
  <c r="C23" i="30"/>
  <c r="D23" i="30" s="1"/>
  <c r="V22" i="30"/>
  <c r="T22" i="30"/>
  <c r="R22" i="30"/>
  <c r="C22" i="30" s="1"/>
  <c r="D22" i="30" s="1"/>
  <c r="P22" i="30"/>
  <c r="N22" i="30"/>
  <c r="L22" i="30"/>
  <c r="J22" i="30"/>
  <c r="H22" i="30"/>
  <c r="F22" i="30"/>
  <c r="V21" i="30"/>
  <c r="T21" i="30"/>
  <c r="R21" i="30"/>
  <c r="P21" i="30"/>
  <c r="N21" i="30"/>
  <c r="L21" i="30"/>
  <c r="J21" i="30"/>
  <c r="H21" i="30"/>
  <c r="F21" i="30"/>
  <c r="V20" i="30"/>
  <c r="T20" i="30"/>
  <c r="R20" i="30"/>
  <c r="P20" i="30"/>
  <c r="N20" i="30"/>
  <c r="L20" i="30"/>
  <c r="J20" i="30"/>
  <c r="H20" i="30"/>
  <c r="F20" i="30"/>
  <c r="V19" i="30"/>
  <c r="T19" i="30"/>
  <c r="R19" i="30"/>
  <c r="P19" i="30"/>
  <c r="N19" i="30"/>
  <c r="L19" i="30"/>
  <c r="J19" i="30"/>
  <c r="H19" i="30"/>
  <c r="F19" i="30"/>
  <c r="V18" i="30"/>
  <c r="T18" i="30"/>
  <c r="R18" i="30"/>
  <c r="P18" i="30"/>
  <c r="N18" i="30"/>
  <c r="L18" i="30"/>
  <c r="J18" i="30"/>
  <c r="H18" i="30"/>
  <c r="F18" i="30"/>
  <c r="V17" i="30"/>
  <c r="T17" i="30"/>
  <c r="R17" i="30"/>
  <c r="P17" i="30"/>
  <c r="N17" i="30"/>
  <c r="L17" i="30"/>
  <c r="J17" i="30"/>
  <c r="H17" i="30"/>
  <c r="F17" i="30"/>
  <c r="V16" i="30"/>
  <c r="T16" i="30"/>
  <c r="R16" i="30"/>
  <c r="P16" i="30"/>
  <c r="N16" i="30"/>
  <c r="L16" i="30"/>
  <c r="J16" i="30"/>
  <c r="H16" i="30"/>
  <c r="F16" i="30"/>
  <c r="V15" i="30"/>
  <c r="T15" i="30"/>
  <c r="R15" i="30"/>
  <c r="P15" i="30"/>
  <c r="N15" i="30"/>
  <c r="L15" i="30"/>
  <c r="J15" i="30"/>
  <c r="H15" i="30"/>
  <c r="F15" i="30"/>
  <c r="V14" i="30"/>
  <c r="T14" i="30"/>
  <c r="R14" i="30"/>
  <c r="P14" i="30"/>
  <c r="N14" i="30"/>
  <c r="L14" i="30"/>
  <c r="J14" i="30"/>
  <c r="H14" i="30"/>
  <c r="F14" i="30"/>
  <c r="C14" i="30" s="1"/>
  <c r="D14" i="30" s="1"/>
  <c r="V13" i="30"/>
  <c r="T13" i="30"/>
  <c r="R13" i="30"/>
  <c r="P13" i="30"/>
  <c r="N13" i="30"/>
  <c r="L13" i="30"/>
  <c r="J13" i="30"/>
  <c r="H13" i="30"/>
  <c r="F13" i="30"/>
  <c r="V12" i="30"/>
  <c r="T12" i="30"/>
  <c r="R12" i="30"/>
  <c r="P12" i="30"/>
  <c r="N12" i="30"/>
  <c r="L12" i="30"/>
  <c r="J12" i="30"/>
  <c r="H12" i="30"/>
  <c r="F12" i="30"/>
  <c r="C12" i="30"/>
  <c r="D12" i="30" s="1"/>
  <c r="U10" i="30"/>
  <c r="S10" i="30"/>
  <c r="C24" i="30" s="1"/>
  <c r="D24" i="30" s="1"/>
  <c r="Q10" i="30"/>
  <c r="O10" i="30"/>
  <c r="M10" i="30"/>
  <c r="K10" i="30"/>
  <c r="I10" i="30"/>
  <c r="G10" i="30"/>
  <c r="E10" i="30"/>
  <c r="C16" i="30" s="1"/>
  <c r="D16" i="30" s="1"/>
  <c r="D261" i="9"/>
  <c r="C261" i="9"/>
  <c r="D260" i="9"/>
  <c r="C260" i="9"/>
  <c r="G260" i="9" s="1"/>
  <c r="J259" i="9"/>
  <c r="D259" i="9"/>
  <c r="C259" i="9"/>
  <c r="G258" i="9"/>
  <c r="H258" i="9" s="1"/>
  <c r="G257" i="9"/>
  <c r="H257" i="9" s="1"/>
  <c r="J256" i="9"/>
  <c r="K256" i="9" s="1"/>
  <c r="D256" i="9"/>
  <c r="C256" i="9"/>
  <c r="J255" i="9"/>
  <c r="D255" i="9"/>
  <c r="C255" i="9"/>
  <c r="G255" i="9" s="1"/>
  <c r="H255" i="9" s="1"/>
  <c r="C254" i="9"/>
  <c r="G254" i="9" s="1"/>
  <c r="D253" i="9"/>
  <c r="C253" i="9"/>
  <c r="D252" i="9"/>
  <c r="C252" i="9"/>
  <c r="G252" i="9" s="1"/>
  <c r="J252" i="9" s="1"/>
  <c r="K252" i="9" s="1"/>
  <c r="G251" i="9"/>
  <c r="H251" i="9" s="1"/>
  <c r="G250" i="9"/>
  <c r="J250" i="9" s="1"/>
  <c r="K250" i="9" s="1"/>
  <c r="D249" i="9"/>
  <c r="C249" i="9"/>
  <c r="G249" i="9" s="1"/>
  <c r="D248" i="9"/>
  <c r="C248" i="9"/>
  <c r="D247" i="9"/>
  <c r="C247" i="9"/>
  <c r="G247" i="9" s="1"/>
  <c r="D246" i="9"/>
  <c r="C246" i="9"/>
  <c r="G246" i="9" s="1"/>
  <c r="D245" i="9"/>
  <c r="C245" i="9"/>
  <c r="G245" i="9" s="1"/>
  <c r="C244" i="9"/>
  <c r="G244" i="9" s="1"/>
  <c r="H244" i="9" s="1"/>
  <c r="D243" i="9"/>
  <c r="C243" i="9"/>
  <c r="D242" i="9"/>
  <c r="C242" i="9"/>
  <c r="D241" i="9"/>
  <c r="C241" i="9"/>
  <c r="D240" i="9"/>
  <c r="C240" i="9"/>
  <c r="D239" i="9"/>
  <c r="C239" i="9"/>
  <c r="G239" i="9" s="1"/>
  <c r="D238" i="9"/>
  <c r="C238" i="9"/>
  <c r="G238" i="9" s="1"/>
  <c r="H238" i="9" s="1"/>
  <c r="G237" i="9"/>
  <c r="H237" i="9" s="1"/>
  <c r="D236" i="9"/>
  <c r="C236" i="9"/>
  <c r="D235" i="9"/>
  <c r="C235" i="9"/>
  <c r="D234" i="9"/>
  <c r="C234" i="9"/>
  <c r="G234" i="9" s="1"/>
  <c r="J234" i="9" s="1"/>
  <c r="K234" i="9" s="1"/>
  <c r="J233" i="9"/>
  <c r="K233" i="9" s="1"/>
  <c r="D233" i="9"/>
  <c r="C233" i="9"/>
  <c r="D232" i="9"/>
  <c r="C232" i="9"/>
  <c r="D231" i="9"/>
  <c r="C231" i="9"/>
  <c r="J230" i="9"/>
  <c r="K230" i="9" s="1"/>
  <c r="D230" i="9"/>
  <c r="C230" i="9"/>
  <c r="G230" i="9" s="1"/>
  <c r="H230" i="9" s="1"/>
  <c r="D229" i="9"/>
  <c r="C229" i="9"/>
  <c r="D228" i="9"/>
  <c r="C228" i="9"/>
  <c r="D227" i="9"/>
  <c r="C227" i="9"/>
  <c r="G226" i="9"/>
  <c r="J226" i="9" s="1"/>
  <c r="K226" i="9" s="1"/>
  <c r="D225" i="9"/>
  <c r="C225" i="9"/>
  <c r="G225" i="9" s="1"/>
  <c r="D224" i="9"/>
  <c r="C224" i="9"/>
  <c r="D223" i="9"/>
  <c r="C223" i="9"/>
  <c r="D222" i="9"/>
  <c r="C222" i="9"/>
  <c r="G222" i="9" s="1"/>
  <c r="D221" i="9"/>
  <c r="C221" i="9"/>
  <c r="G221" i="9" s="1"/>
  <c r="D220" i="9"/>
  <c r="C220" i="9"/>
  <c r="D219" i="9"/>
  <c r="C219" i="9"/>
  <c r="G219" i="9" s="1"/>
  <c r="J218" i="9"/>
  <c r="K218" i="9" s="1"/>
  <c r="D218" i="9"/>
  <c r="C218" i="9"/>
  <c r="D217" i="9"/>
  <c r="C217" i="9"/>
  <c r="C216" i="9"/>
  <c r="G216" i="9" s="1"/>
  <c r="J215" i="9"/>
  <c r="K215" i="9" s="1"/>
  <c r="D215" i="9"/>
  <c r="C215" i="9"/>
  <c r="D214" i="9"/>
  <c r="C214" i="9"/>
  <c r="G214" i="9" s="1"/>
  <c r="H214" i="9" s="1"/>
  <c r="D213" i="9"/>
  <c r="C213" i="9"/>
  <c r="G213" i="9" s="1"/>
  <c r="D212" i="9"/>
  <c r="C212" i="9"/>
  <c r="G212" i="9" s="1"/>
  <c r="J212" i="9" s="1"/>
  <c r="K212" i="9" s="1"/>
  <c r="D211" i="9"/>
  <c r="C211" i="9"/>
  <c r="G211" i="9" s="1"/>
  <c r="J211" i="9" s="1"/>
  <c r="K211" i="9" s="1"/>
  <c r="D210" i="9"/>
  <c r="C210" i="9"/>
  <c r="D209" i="9"/>
  <c r="C209" i="9"/>
  <c r="D208" i="9"/>
  <c r="C208" i="9"/>
  <c r="G208" i="9" s="1"/>
  <c r="H208" i="9" s="1"/>
  <c r="D207" i="9"/>
  <c r="C207" i="9"/>
  <c r="G207" i="9" s="1"/>
  <c r="H207" i="9" s="1"/>
  <c r="D206" i="9"/>
  <c r="C206" i="9"/>
  <c r="D205" i="9"/>
  <c r="C205" i="9"/>
  <c r="G205" i="9" s="1"/>
  <c r="D204" i="9"/>
  <c r="C204" i="9"/>
  <c r="G204" i="9" s="1"/>
  <c r="J204" i="9" s="1"/>
  <c r="K204" i="9" s="1"/>
  <c r="D203" i="9"/>
  <c r="C203" i="9"/>
  <c r="G203" i="9" s="1"/>
  <c r="D202" i="9"/>
  <c r="C202" i="9"/>
  <c r="G202" i="9" s="1"/>
  <c r="J202" i="9" s="1"/>
  <c r="K202" i="9" s="1"/>
  <c r="G201" i="9"/>
  <c r="J201" i="9" s="1"/>
  <c r="K201" i="9" s="1"/>
  <c r="G200" i="9"/>
  <c r="G199" i="9"/>
  <c r="J199" i="9" s="1"/>
  <c r="K199" i="9" s="1"/>
  <c r="G198" i="9"/>
  <c r="J198" i="9" s="1"/>
  <c r="K198" i="9" s="1"/>
  <c r="D197" i="9"/>
  <c r="C197" i="9"/>
  <c r="K196" i="9"/>
  <c r="D196" i="9"/>
  <c r="C196" i="9"/>
  <c r="D195" i="9"/>
  <c r="C195" i="9"/>
  <c r="G195" i="9" s="1"/>
  <c r="G194" i="9"/>
  <c r="H194" i="9" s="1"/>
  <c r="C193" i="9"/>
  <c r="G193" i="9" s="1"/>
  <c r="D192" i="9"/>
  <c r="C192" i="9"/>
  <c r="G192" i="9" s="1"/>
  <c r="D191" i="9"/>
  <c r="C191" i="9"/>
  <c r="D190" i="9"/>
  <c r="C190" i="9"/>
  <c r="D189" i="9"/>
  <c r="C189" i="9"/>
  <c r="D188" i="9"/>
  <c r="C188" i="9"/>
  <c r="G188" i="9" s="1"/>
  <c r="G187" i="9"/>
  <c r="H187" i="9" s="1"/>
  <c r="D186" i="9"/>
  <c r="C186" i="9"/>
  <c r="G186" i="9" s="1"/>
  <c r="H186" i="9" s="1"/>
  <c r="D185" i="9"/>
  <c r="C185" i="9"/>
  <c r="D184" i="9"/>
  <c r="C184" i="9"/>
  <c r="G184" i="9" s="1"/>
  <c r="J184" i="9" s="1"/>
  <c r="K184" i="9" s="1"/>
  <c r="D183" i="9"/>
  <c r="C183" i="9"/>
  <c r="D182" i="9"/>
  <c r="C182" i="9"/>
  <c r="C181" i="9"/>
  <c r="G181" i="9" s="1"/>
  <c r="D180" i="9"/>
  <c r="C180" i="9"/>
  <c r="G180" i="9" s="1"/>
  <c r="D179" i="9"/>
  <c r="C179" i="9"/>
  <c r="G179" i="9" s="1"/>
  <c r="J179" i="9" s="1"/>
  <c r="K179" i="9" s="1"/>
  <c r="D178" i="9"/>
  <c r="C178" i="9"/>
  <c r="G178" i="9" s="1"/>
  <c r="D177" i="9"/>
  <c r="C177" i="9"/>
  <c r="G176" i="9"/>
  <c r="J176" i="9" s="1"/>
  <c r="K176" i="9" s="1"/>
  <c r="J175" i="9"/>
  <c r="D175" i="9"/>
  <c r="C175" i="9"/>
  <c r="G174" i="9"/>
  <c r="J174" i="9" s="1"/>
  <c r="K174" i="9" s="1"/>
  <c r="C173" i="9"/>
  <c r="G173" i="9" s="1"/>
  <c r="J172" i="9"/>
  <c r="K172" i="9" s="1"/>
  <c r="D172" i="9"/>
  <c r="C172" i="9"/>
  <c r="G172" i="9" s="1"/>
  <c r="H172" i="9" s="1"/>
  <c r="D171" i="9"/>
  <c r="C171" i="9"/>
  <c r="G171" i="9" s="1"/>
  <c r="J171" i="9" s="1"/>
  <c r="K171" i="9" s="1"/>
  <c r="D170" i="9"/>
  <c r="C170" i="9"/>
  <c r="D169" i="9"/>
  <c r="C169" i="9"/>
  <c r="G169" i="9" s="1"/>
  <c r="G168" i="9"/>
  <c r="J168" i="9" s="1"/>
  <c r="K168" i="9" s="1"/>
  <c r="G167" i="9"/>
  <c r="J167" i="9" s="1"/>
  <c r="K167" i="9" s="1"/>
  <c r="D166" i="9"/>
  <c r="C166" i="9"/>
  <c r="G166" i="9" s="1"/>
  <c r="H166" i="9" s="1"/>
  <c r="D165" i="9"/>
  <c r="C165" i="9"/>
  <c r="G165" i="9" s="1"/>
  <c r="H165" i="9" s="1"/>
  <c r="D164" i="9"/>
  <c r="C164" i="9"/>
  <c r="J163" i="9"/>
  <c r="K163" i="9" s="1"/>
  <c r="D163" i="9"/>
  <c r="C163" i="9"/>
  <c r="J162" i="9"/>
  <c r="D162" i="9"/>
  <c r="C162" i="9"/>
  <c r="J161" i="9"/>
  <c r="K161" i="9" s="1"/>
  <c r="D161" i="9"/>
  <c r="C161" i="9"/>
  <c r="D160" i="9"/>
  <c r="C160" i="9"/>
  <c r="G160" i="9" s="1"/>
  <c r="C159" i="9"/>
  <c r="G159" i="9" s="1"/>
  <c r="D158" i="9"/>
  <c r="C158" i="9"/>
  <c r="G158" i="9" s="1"/>
  <c r="H158" i="9" s="1"/>
  <c r="D157" i="9"/>
  <c r="C157" i="9"/>
  <c r="G157" i="9" s="1"/>
  <c r="J157" i="9" s="1"/>
  <c r="K157" i="9" s="1"/>
  <c r="J156" i="9"/>
  <c r="K156" i="9" s="1"/>
  <c r="D156" i="9"/>
  <c r="C156" i="9"/>
  <c r="D155" i="9"/>
  <c r="C155" i="9"/>
  <c r="D154" i="9"/>
  <c r="C154" i="9"/>
  <c r="G154" i="9" s="1"/>
  <c r="D153" i="9"/>
  <c r="C153" i="9"/>
  <c r="G153" i="9" s="1"/>
  <c r="J153" i="9" s="1"/>
  <c r="K153" i="9" s="1"/>
  <c r="C152" i="9"/>
  <c r="G152" i="9" s="1"/>
  <c r="D151" i="9"/>
  <c r="C151" i="9"/>
  <c r="G151" i="9" s="1"/>
  <c r="J151" i="9" s="1"/>
  <c r="K151" i="9" s="1"/>
  <c r="D150" i="9"/>
  <c r="C150" i="9"/>
  <c r="G150" i="9" s="1"/>
  <c r="G149" i="9"/>
  <c r="D148" i="9"/>
  <c r="C148" i="9"/>
  <c r="D147" i="9"/>
  <c r="C147" i="9"/>
  <c r="J146" i="9"/>
  <c r="K146" i="9" s="1"/>
  <c r="D146" i="9"/>
  <c r="C146" i="9"/>
  <c r="G146" i="9" s="1"/>
  <c r="H146" i="9" s="1"/>
  <c r="D145" i="9"/>
  <c r="C145" i="9"/>
  <c r="G145" i="9" s="1"/>
  <c r="H145" i="9" s="1"/>
  <c r="D144" i="9"/>
  <c r="C144" i="9"/>
  <c r="G144" i="9" s="1"/>
  <c r="D143" i="9"/>
  <c r="C143" i="9"/>
  <c r="G143" i="9" s="1"/>
  <c r="D142" i="9"/>
  <c r="C142" i="9"/>
  <c r="D141" i="9"/>
  <c r="C141" i="9"/>
  <c r="G141" i="9" s="1"/>
  <c r="J141" i="9" s="1"/>
  <c r="K141" i="9" s="1"/>
  <c r="D140" i="9"/>
  <c r="C140" i="9"/>
  <c r="G140" i="9" s="1"/>
  <c r="C139" i="9"/>
  <c r="G139" i="9" s="1"/>
  <c r="D138" i="9"/>
  <c r="C138" i="9"/>
  <c r="D137" i="9"/>
  <c r="C137" i="9"/>
  <c r="G137" i="9" s="1"/>
  <c r="J137" i="9" s="1"/>
  <c r="K137" i="9" s="1"/>
  <c r="D136" i="9"/>
  <c r="C136" i="9"/>
  <c r="D135" i="9"/>
  <c r="C135" i="9"/>
  <c r="D134" i="9"/>
  <c r="C134" i="9"/>
  <c r="G134" i="9" s="1"/>
  <c r="H134" i="9" s="1"/>
  <c r="D133" i="9"/>
  <c r="C133" i="9"/>
  <c r="D132" i="9"/>
  <c r="C132" i="9"/>
  <c r="G132" i="9" s="1"/>
  <c r="H132" i="9" s="1"/>
  <c r="D131" i="9"/>
  <c r="C131" i="9"/>
  <c r="D130" i="9"/>
  <c r="C130" i="9"/>
  <c r="G130" i="9" s="1"/>
  <c r="D129" i="9"/>
  <c r="C129" i="9"/>
  <c r="G129" i="9" s="1"/>
  <c r="D128" i="9"/>
  <c r="C128" i="9"/>
  <c r="G128" i="9" s="1"/>
  <c r="D127" i="9"/>
  <c r="C127" i="9"/>
  <c r="J126" i="9"/>
  <c r="K126" i="9" s="1"/>
  <c r="D126" i="9"/>
  <c r="C126" i="9"/>
  <c r="G126" i="9" s="1"/>
  <c r="H126" i="9" s="1"/>
  <c r="D125" i="9"/>
  <c r="C125" i="9"/>
  <c r="D124" i="9"/>
  <c r="C124" i="9"/>
  <c r="C123" i="9"/>
  <c r="G123" i="9" s="1"/>
  <c r="D122" i="9"/>
  <c r="C122" i="9"/>
  <c r="G122" i="9" s="1"/>
  <c r="J122" i="9" s="1"/>
  <c r="K122" i="9" s="1"/>
  <c r="D121" i="9"/>
  <c r="C121" i="9"/>
  <c r="D120" i="9"/>
  <c r="C120" i="9"/>
  <c r="D119" i="9"/>
  <c r="C119" i="9"/>
  <c r="C118" i="9"/>
  <c r="G118" i="9" s="1"/>
  <c r="D117" i="9"/>
  <c r="C117" i="9"/>
  <c r="G117" i="9" s="1"/>
  <c r="D116" i="9"/>
  <c r="C116" i="9"/>
  <c r="G116" i="9" s="1"/>
  <c r="J116" i="9" s="1"/>
  <c r="J115" i="9"/>
  <c r="D115" i="9"/>
  <c r="C115" i="9"/>
  <c r="G115" i="9" s="1"/>
  <c r="H115" i="9" s="1"/>
  <c r="D114" i="9"/>
  <c r="C114" i="9"/>
  <c r="G114" i="9" s="1"/>
  <c r="D113" i="9"/>
  <c r="C113" i="9"/>
  <c r="G113" i="9" s="1"/>
  <c r="D112" i="9"/>
  <c r="C112" i="9"/>
  <c r="D111" i="9"/>
  <c r="C111" i="9"/>
  <c r="G111" i="9" s="1"/>
  <c r="D110" i="9"/>
  <c r="C110" i="9"/>
  <c r="G110" i="9" s="1"/>
  <c r="D109" i="9"/>
  <c r="C109" i="9"/>
  <c r="G109" i="9" s="1"/>
  <c r="G108" i="9"/>
  <c r="J107" i="9"/>
  <c r="K107" i="9" s="1"/>
  <c r="D107" i="9"/>
  <c r="C107" i="9"/>
  <c r="G107" i="9" s="1"/>
  <c r="H107" i="9" s="1"/>
  <c r="D106" i="9"/>
  <c r="C106" i="9"/>
  <c r="D105" i="9"/>
  <c r="C105" i="9"/>
  <c r="G105" i="9" s="1"/>
  <c r="D104" i="9"/>
  <c r="C104" i="9"/>
  <c r="G104" i="9" s="1"/>
  <c r="J104" i="9" s="1"/>
  <c r="K104" i="9" s="1"/>
  <c r="C103" i="9"/>
  <c r="G103" i="9" s="1"/>
  <c r="D102" i="9"/>
  <c r="C102" i="9"/>
  <c r="J101" i="9"/>
  <c r="K101" i="9" s="1"/>
  <c r="G101" i="9"/>
  <c r="H101" i="9" s="1"/>
  <c r="G100" i="9"/>
  <c r="D99" i="9"/>
  <c r="C99" i="9"/>
  <c r="G98" i="9"/>
  <c r="H98" i="9" s="1"/>
  <c r="D97" i="9"/>
  <c r="C97" i="9"/>
  <c r="G97" i="9" s="1"/>
  <c r="C96" i="9"/>
  <c r="G96" i="9" s="1"/>
  <c r="D95" i="9"/>
  <c r="C95" i="9"/>
  <c r="D94" i="9"/>
  <c r="C94" i="9"/>
  <c r="D93" i="9"/>
  <c r="C93" i="9"/>
  <c r="D92" i="9"/>
  <c r="C92" i="9"/>
  <c r="D91" i="9"/>
  <c r="C91" i="9"/>
  <c r="G90" i="9"/>
  <c r="H90" i="9" s="1"/>
  <c r="G89" i="9"/>
  <c r="J89" i="9" s="1"/>
  <c r="K89" i="9" s="1"/>
  <c r="G88" i="9"/>
  <c r="J88" i="9" s="1"/>
  <c r="K88" i="9" s="1"/>
  <c r="D87" i="9"/>
  <c r="C87" i="9"/>
  <c r="D86" i="9"/>
  <c r="C86" i="9"/>
  <c r="D85" i="9"/>
  <c r="C85" i="9"/>
  <c r="C84" i="9"/>
  <c r="G84" i="9" s="1"/>
  <c r="G83" i="9"/>
  <c r="J83" i="9" s="1"/>
  <c r="K83" i="9" s="1"/>
  <c r="D82" i="9"/>
  <c r="C82" i="9"/>
  <c r="G82" i="9" s="1"/>
  <c r="H82" i="9" s="1"/>
  <c r="D81" i="9"/>
  <c r="C81" i="9"/>
  <c r="G81" i="9" s="1"/>
  <c r="H81" i="9" s="1"/>
  <c r="D80" i="9"/>
  <c r="C80" i="9"/>
  <c r="D79" i="9"/>
  <c r="C79" i="9"/>
  <c r="D78" i="9"/>
  <c r="C78" i="9"/>
  <c r="G78" i="9" s="1"/>
  <c r="D77" i="9"/>
  <c r="C77" i="9"/>
  <c r="G77" i="9" s="1"/>
  <c r="H77" i="9" s="1"/>
  <c r="D76" i="9"/>
  <c r="C76" i="9"/>
  <c r="G76" i="9" s="1"/>
  <c r="D75" i="9"/>
  <c r="C75" i="9"/>
  <c r="G75" i="9" s="1"/>
  <c r="D74" i="9"/>
  <c r="C74" i="9"/>
  <c r="D73" i="9"/>
  <c r="C73" i="9"/>
  <c r="G73" i="9" s="1"/>
  <c r="H73" i="9" s="1"/>
  <c r="D72" i="9"/>
  <c r="C72" i="9"/>
  <c r="G72" i="9" s="1"/>
  <c r="J71" i="9"/>
  <c r="K71" i="9" s="1"/>
  <c r="D71" i="9"/>
  <c r="C71" i="9"/>
  <c r="G71" i="9" s="1"/>
  <c r="H71" i="9" s="1"/>
  <c r="D70" i="9"/>
  <c r="C70" i="9"/>
  <c r="G70" i="9" s="1"/>
  <c r="H70" i="9" s="1"/>
  <c r="D69" i="9"/>
  <c r="C69" i="9"/>
  <c r="G69" i="9" s="1"/>
  <c r="H69" i="9" s="1"/>
  <c r="C68" i="9"/>
  <c r="G68" i="9" s="1"/>
  <c r="J67" i="9"/>
  <c r="D67" i="9"/>
  <c r="C67" i="9"/>
  <c r="J66" i="9"/>
  <c r="K66" i="9" s="1"/>
  <c r="D66" i="9"/>
  <c r="C66" i="9"/>
  <c r="G66" i="9" s="1"/>
  <c r="H66" i="9" s="1"/>
  <c r="D65" i="9"/>
  <c r="C65" i="9"/>
  <c r="G65" i="9" s="1"/>
  <c r="J65" i="9" s="1"/>
  <c r="K65" i="9" s="1"/>
  <c r="D64" i="9"/>
  <c r="C64" i="9"/>
  <c r="D63" i="9"/>
  <c r="C63" i="9"/>
  <c r="D62" i="9"/>
  <c r="C62" i="9"/>
  <c r="G62" i="9" s="1"/>
  <c r="D61" i="9"/>
  <c r="C61" i="9"/>
  <c r="G61" i="9" s="1"/>
  <c r="J61" i="9" s="1"/>
  <c r="K61" i="9" s="1"/>
  <c r="G60" i="9"/>
  <c r="H60" i="9" s="1"/>
  <c r="G59" i="9"/>
  <c r="D58" i="9"/>
  <c r="C58" i="9"/>
  <c r="D57" i="9"/>
  <c r="C57" i="9"/>
  <c r="G57" i="9" s="1"/>
  <c r="D56" i="9"/>
  <c r="C56" i="9"/>
  <c r="D55" i="9"/>
  <c r="C55" i="9"/>
  <c r="G55" i="9" s="1"/>
  <c r="D54" i="9"/>
  <c r="C54" i="9"/>
  <c r="G54" i="9" s="1"/>
  <c r="D53" i="9"/>
  <c r="C53" i="9"/>
  <c r="D52" i="9"/>
  <c r="C52" i="9"/>
  <c r="G52" i="9" s="1"/>
  <c r="H52" i="9" s="1"/>
  <c r="J51" i="9"/>
  <c r="K51" i="9" s="1"/>
  <c r="D51" i="9"/>
  <c r="C51" i="9"/>
  <c r="D50" i="9"/>
  <c r="C50" i="9"/>
  <c r="D49" i="9"/>
  <c r="C49" i="9"/>
  <c r="G49" i="9" s="1"/>
  <c r="J48" i="9"/>
  <c r="K48" i="9" s="1"/>
  <c r="D48" i="9"/>
  <c r="C48" i="9"/>
  <c r="G48" i="9" s="1"/>
  <c r="H48" i="9" s="1"/>
  <c r="J47" i="9"/>
  <c r="K47" i="9" s="1"/>
  <c r="D47" i="9"/>
  <c r="C47" i="9"/>
  <c r="G47" i="9" s="1"/>
  <c r="H47" i="9" s="1"/>
  <c r="D46" i="9"/>
  <c r="C46" i="9"/>
  <c r="D45" i="9"/>
  <c r="C45" i="9"/>
  <c r="G44" i="9"/>
  <c r="H44" i="9" s="1"/>
  <c r="D43" i="9"/>
  <c r="C43" i="9"/>
  <c r="G42" i="9"/>
  <c r="H42" i="9" s="1"/>
  <c r="D41" i="9"/>
  <c r="C41" i="9"/>
  <c r="D40" i="9"/>
  <c r="C40" i="9"/>
  <c r="G39" i="9"/>
  <c r="J39" i="9" s="1"/>
  <c r="K39" i="9" s="1"/>
  <c r="D38" i="9"/>
  <c r="C38" i="9"/>
  <c r="D37" i="9"/>
  <c r="C37" i="9"/>
  <c r="G37" i="9" s="1"/>
  <c r="D36" i="9"/>
  <c r="C36" i="9"/>
  <c r="D35" i="9"/>
  <c r="C35" i="9"/>
  <c r="G35" i="9" s="1"/>
  <c r="H35" i="9" s="1"/>
  <c r="D34" i="9"/>
  <c r="C34" i="9"/>
  <c r="G34" i="9" s="1"/>
  <c r="D33" i="9"/>
  <c r="C33" i="9"/>
  <c r="G33" i="9" s="1"/>
  <c r="D32" i="9"/>
  <c r="C32" i="9"/>
  <c r="D31" i="9"/>
  <c r="C31" i="9"/>
  <c r="G31" i="9" s="1"/>
  <c r="H31" i="9" s="1"/>
  <c r="D30" i="9"/>
  <c r="C30" i="9"/>
  <c r="G30" i="9" s="1"/>
  <c r="D29" i="9"/>
  <c r="C29" i="9"/>
  <c r="G29" i="9" s="1"/>
  <c r="D28" i="9"/>
  <c r="C28" i="9"/>
  <c r="G28" i="9" s="1"/>
  <c r="H28" i="9" s="1"/>
  <c r="D27" i="9"/>
  <c r="C27" i="9"/>
  <c r="G27" i="9" s="1"/>
  <c r="H27" i="9" s="1"/>
  <c r="D26" i="9"/>
  <c r="C26" i="9"/>
  <c r="D25" i="9"/>
  <c r="C25" i="9"/>
  <c r="D24" i="9"/>
  <c r="C24" i="9"/>
  <c r="G24" i="9" s="1"/>
  <c r="D23" i="9"/>
  <c r="C23" i="9"/>
  <c r="G23" i="9" s="1"/>
  <c r="H23" i="9" s="1"/>
  <c r="D22" i="9"/>
  <c r="C22" i="9"/>
  <c r="G22" i="9" s="1"/>
  <c r="D21" i="9"/>
  <c r="C21" i="9"/>
  <c r="G21" i="9" s="1"/>
  <c r="G20" i="9"/>
  <c r="J20" i="9" s="1"/>
  <c r="K20" i="9" s="1"/>
  <c r="D19" i="9"/>
  <c r="C19" i="9"/>
  <c r="D18" i="9"/>
  <c r="C18" i="9"/>
  <c r="G18" i="9" s="1"/>
  <c r="D17" i="9"/>
  <c r="C17" i="9"/>
  <c r="G17" i="9" s="1"/>
  <c r="G16" i="9"/>
  <c r="H16" i="9" s="1"/>
  <c r="D15" i="9"/>
  <c r="C15" i="9"/>
  <c r="D14" i="9"/>
  <c r="C14" i="9"/>
  <c r="G14" i="9" s="1"/>
  <c r="J14" i="9" s="1"/>
  <c r="K14" i="9" s="1"/>
  <c r="G13" i="9"/>
  <c r="D12" i="9"/>
  <c r="G12" i="9" s="1"/>
  <c r="D11" i="9"/>
  <c r="C11" i="9"/>
  <c r="J10" i="9"/>
  <c r="K10" i="9" s="1"/>
  <c r="H10" i="9"/>
  <c r="G10" i="9"/>
  <c r="G9" i="9"/>
  <c r="F27" i="7"/>
  <c r="B22" i="7"/>
  <c r="F29" i="7" s="1"/>
  <c r="B21" i="7"/>
  <c r="B20" i="7"/>
  <c r="D20" i="7" s="1"/>
  <c r="B19" i="7"/>
  <c r="D19" i="7" s="1"/>
  <c r="E19" i="7" s="1"/>
  <c r="B10" i="7"/>
  <c r="D10" i="7" s="1"/>
  <c r="C9" i="7"/>
  <c r="B9" i="7"/>
  <c r="F32" i="7" s="1"/>
  <c r="D8" i="7"/>
  <c r="B8" i="7"/>
  <c r="F33" i="7" s="1"/>
  <c r="B7" i="7"/>
  <c r="D7" i="7" s="1"/>
  <c r="B6" i="7"/>
  <c r="D6" i="7" s="1"/>
  <c r="B5" i="7"/>
  <c r="D5" i="7" s="1"/>
  <c r="C4" i="7"/>
  <c r="B4" i="7"/>
  <c r="B3" i="7"/>
  <c r="D3" i="7" s="1"/>
  <c r="D2" i="7"/>
  <c r="G224" i="9" l="1"/>
  <c r="J186" i="9"/>
  <c r="K186" i="9" s="1"/>
  <c r="G50" i="9"/>
  <c r="J50" i="9" s="1"/>
  <c r="K50" i="9" s="1"/>
  <c r="G64" i="9"/>
  <c r="G26" i="9"/>
  <c r="J26" i="9" s="1"/>
  <c r="K26" i="9" s="1"/>
  <c r="G32" i="9"/>
  <c r="G38" i="9"/>
  <c r="H38" i="9" s="1"/>
  <c r="G56" i="9"/>
  <c r="H56" i="9" s="1"/>
  <c r="G80" i="9"/>
  <c r="H80" i="9" s="1"/>
  <c r="G87" i="9"/>
  <c r="G127" i="9"/>
  <c r="J127" i="9" s="1"/>
  <c r="K127" i="9" s="1"/>
  <c r="G170" i="9"/>
  <c r="J170" i="9" s="1"/>
  <c r="K170" i="9" s="1"/>
  <c r="G177" i="9"/>
  <c r="G190" i="9"/>
  <c r="G240" i="9"/>
  <c r="J240" i="9" s="1"/>
  <c r="K240" i="9" s="1"/>
  <c r="G185" i="9"/>
  <c r="G206" i="9"/>
  <c r="G248" i="9"/>
  <c r="J16" i="9"/>
  <c r="K16" i="9" s="1"/>
  <c r="J237" i="9"/>
  <c r="K237" i="9" s="1"/>
  <c r="J98" i="9"/>
  <c r="K98" i="9" s="1"/>
  <c r="J194" i="9"/>
  <c r="K194" i="9" s="1"/>
  <c r="H201" i="9"/>
  <c r="J258" i="9"/>
  <c r="K258" i="9" s="1"/>
  <c r="J90" i="9"/>
  <c r="K90" i="9" s="1"/>
  <c r="J251" i="9"/>
  <c r="K251" i="9" s="1"/>
  <c r="J60" i="9"/>
  <c r="K60" i="9" s="1"/>
  <c r="J187" i="9"/>
  <c r="K187" i="9" s="1"/>
  <c r="H174" i="9"/>
  <c r="J42" i="9"/>
  <c r="K42" i="9" s="1"/>
  <c r="J44" i="9"/>
  <c r="K44" i="9" s="1"/>
  <c r="J257" i="9"/>
  <c r="K257" i="9" s="1"/>
  <c r="G131" i="9"/>
  <c r="J131" i="9" s="1"/>
  <c r="K131" i="9" s="1"/>
  <c r="G259" i="9"/>
  <c r="H259" i="9" s="1"/>
  <c r="G133" i="9"/>
  <c r="H133" i="9" s="1"/>
  <c r="G227" i="9"/>
  <c r="H227" i="9" s="1"/>
  <c r="G15" i="9"/>
  <c r="J15" i="9" s="1"/>
  <c r="K15" i="9" s="1"/>
  <c r="G40" i="9"/>
  <c r="H40" i="9" s="1"/>
  <c r="G51" i="9"/>
  <c r="H51" i="9" s="1"/>
  <c r="G63" i="9"/>
  <c r="H63" i="9" s="1"/>
  <c r="G112" i="9"/>
  <c r="H112" i="9" s="1"/>
  <c r="G124" i="9"/>
  <c r="J124" i="9" s="1"/>
  <c r="G135" i="9"/>
  <c r="H135" i="9" s="1"/>
  <c r="G147" i="9"/>
  <c r="J147" i="9" s="1"/>
  <c r="K147" i="9" s="1"/>
  <c r="G182" i="9"/>
  <c r="H182" i="9" s="1"/>
  <c r="G261" i="9"/>
  <c r="J261" i="9" s="1"/>
  <c r="K261" i="9" s="1"/>
  <c r="G41" i="9"/>
  <c r="J41" i="9" s="1"/>
  <c r="K41" i="9" s="1"/>
  <c r="G125" i="9"/>
  <c r="J125" i="9" s="1"/>
  <c r="K125" i="9" s="1"/>
  <c r="G136" i="9"/>
  <c r="H136" i="9" s="1"/>
  <c r="G148" i="9"/>
  <c r="H148" i="9" s="1"/>
  <c r="G231" i="9"/>
  <c r="J231" i="9" s="1"/>
  <c r="K231" i="9" s="1"/>
  <c r="G45" i="9"/>
  <c r="J45" i="9" s="1"/>
  <c r="K45" i="9" s="1"/>
  <c r="G67" i="9"/>
  <c r="H67" i="9" s="1"/>
  <c r="G92" i="9"/>
  <c r="J92" i="9" s="1"/>
  <c r="K92" i="9" s="1"/>
  <c r="G232" i="9"/>
  <c r="J232" i="9" s="1"/>
  <c r="K232" i="9" s="1"/>
  <c r="G162" i="9"/>
  <c r="H162" i="9" s="1"/>
  <c r="G19" i="9"/>
  <c r="J19" i="9" s="1"/>
  <c r="K19" i="9" s="1"/>
  <c r="G43" i="9"/>
  <c r="J43" i="9" s="1"/>
  <c r="K43" i="9" s="1"/>
  <c r="G196" i="9"/>
  <c r="H196" i="9" s="1"/>
  <c r="G46" i="9"/>
  <c r="H46" i="9" s="1"/>
  <c r="G79" i="9"/>
  <c r="H79" i="9" s="1"/>
  <c r="G164" i="9"/>
  <c r="J164" i="9" s="1"/>
  <c r="K164" i="9" s="1"/>
  <c r="G210" i="9"/>
  <c r="J210" i="9" s="1"/>
  <c r="K210" i="9" s="1"/>
  <c r="G256" i="9"/>
  <c r="H256" i="9" s="1"/>
  <c r="G233" i="9"/>
  <c r="H233" i="9" s="1"/>
  <c r="H18" i="9"/>
  <c r="J18" i="9"/>
  <c r="K18" i="9" s="1"/>
  <c r="H64" i="9"/>
  <c r="J64" i="9"/>
  <c r="K64" i="9" s="1"/>
  <c r="J132" i="9"/>
  <c r="K132" i="9" s="1"/>
  <c r="G74" i="9"/>
  <c r="J74" i="9" s="1"/>
  <c r="K74" i="9" s="1"/>
  <c r="G189" i="9"/>
  <c r="J189" i="9" s="1"/>
  <c r="K189" i="9" s="1"/>
  <c r="H247" i="9"/>
  <c r="J247" i="9"/>
  <c r="K247" i="9" s="1"/>
  <c r="G236" i="9"/>
  <c r="J236" i="9" s="1"/>
  <c r="K236" i="9" s="1"/>
  <c r="G11" i="9"/>
  <c r="J11" i="9" s="1"/>
  <c r="G215" i="9"/>
  <c r="H215" i="9" s="1"/>
  <c r="G53" i="9"/>
  <c r="H53" i="9" s="1"/>
  <c r="H128" i="9"/>
  <c r="J128" i="9"/>
  <c r="K128" i="9" s="1"/>
  <c r="G183" i="9"/>
  <c r="J183" i="9" s="1"/>
  <c r="K183" i="9" s="1"/>
  <c r="G163" i="9"/>
  <c r="H163" i="9" s="1"/>
  <c r="G241" i="9"/>
  <c r="G102" i="9"/>
  <c r="J102" i="9" s="1"/>
  <c r="K102" i="9" s="1"/>
  <c r="G142" i="9"/>
  <c r="J142" i="9" s="1"/>
  <c r="K142" i="9" s="1"/>
  <c r="G253" i="9"/>
  <c r="J253" i="9" s="1"/>
  <c r="K253" i="9" s="1"/>
  <c r="J239" i="9"/>
  <c r="K239" i="9" s="1"/>
  <c r="H239" i="9"/>
  <c r="G94" i="9"/>
  <c r="J94" i="9" s="1"/>
  <c r="K94" i="9" s="1"/>
  <c r="G95" i="9"/>
  <c r="H129" i="9"/>
  <c r="J129" i="9"/>
  <c r="K129" i="9" s="1"/>
  <c r="G242" i="9"/>
  <c r="H242" i="9" s="1"/>
  <c r="G91" i="9"/>
  <c r="J91" i="9" s="1"/>
  <c r="K91" i="9" s="1"/>
  <c r="G197" i="9"/>
  <c r="H197" i="9" s="1"/>
  <c r="J165" i="9"/>
  <c r="K165" i="9" s="1"/>
  <c r="G209" i="9"/>
  <c r="J209" i="9" s="1"/>
  <c r="K209" i="9" s="1"/>
  <c r="G220" i="9"/>
  <c r="H220" i="9" s="1"/>
  <c r="J28" i="9"/>
  <c r="K28" i="9" s="1"/>
  <c r="G120" i="9"/>
  <c r="H120" i="9" s="1"/>
  <c r="H202" i="9"/>
  <c r="G119" i="9"/>
  <c r="J119" i="9" s="1"/>
  <c r="K119" i="9" s="1"/>
  <c r="G85" i="9"/>
  <c r="J85" i="9" s="1"/>
  <c r="K85" i="9" s="1"/>
  <c r="G121" i="9"/>
  <c r="J121" i="9" s="1"/>
  <c r="K121" i="9" s="1"/>
  <c r="J214" i="9"/>
  <c r="K214" i="9" s="1"/>
  <c r="G235" i="9"/>
  <c r="H235" i="9" s="1"/>
  <c r="G86" i="9"/>
  <c r="H86" i="9" s="1"/>
  <c r="G99" i="9"/>
  <c r="H99" i="9" s="1"/>
  <c r="G138" i="9"/>
  <c r="J138" i="9" s="1"/>
  <c r="K138" i="9" s="1"/>
  <c r="G161" i="9"/>
  <c r="H161" i="9" s="1"/>
  <c r="G191" i="9"/>
  <c r="J191" i="9" s="1"/>
  <c r="K191" i="9" s="1"/>
  <c r="G223" i="9"/>
  <c r="J223" i="9" s="1"/>
  <c r="K223" i="9" s="1"/>
  <c r="G243" i="9"/>
  <c r="J243" i="9" s="1"/>
  <c r="K243" i="9" s="1"/>
  <c r="G155" i="9"/>
  <c r="J155" i="9" s="1"/>
  <c r="K155" i="9" s="1"/>
  <c r="G217" i="9"/>
  <c r="J217" i="9" s="1"/>
  <c r="K217" i="9" s="1"/>
  <c r="G228" i="9"/>
  <c r="H228" i="9" s="1"/>
  <c r="G36" i="9"/>
  <c r="J36" i="9" s="1"/>
  <c r="K36" i="9" s="1"/>
  <c r="G25" i="9"/>
  <c r="H25" i="9" s="1"/>
  <c r="G58" i="9"/>
  <c r="J58" i="9" s="1"/>
  <c r="K58" i="9" s="1"/>
  <c r="G93" i="9"/>
  <c r="J93" i="9" s="1"/>
  <c r="K93" i="9" s="1"/>
  <c r="G106" i="9"/>
  <c r="H106" i="9" s="1"/>
  <c r="G156" i="9"/>
  <c r="H156" i="9" s="1"/>
  <c r="G175" i="9"/>
  <c r="H175" i="9" s="1"/>
  <c r="G218" i="9"/>
  <c r="H218" i="9" s="1"/>
  <c r="G229" i="9"/>
  <c r="H229" i="9" s="1"/>
  <c r="J12" i="9"/>
  <c r="K12" i="9" s="1"/>
  <c r="H12" i="9"/>
  <c r="J143" i="9"/>
  <c r="K143" i="9" s="1"/>
  <c r="H143" i="9"/>
  <c r="J24" i="9"/>
  <c r="K24" i="9" s="1"/>
  <c r="H24" i="9"/>
  <c r="J105" i="9"/>
  <c r="K105" i="9" s="1"/>
  <c r="H105" i="9"/>
  <c r="J49" i="9"/>
  <c r="K49" i="9" s="1"/>
  <c r="H49" i="9"/>
  <c r="J177" i="9"/>
  <c r="K177" i="9" s="1"/>
  <c r="H177" i="9"/>
  <c r="J96" i="9"/>
  <c r="K96" i="9" s="1"/>
  <c r="H96" i="9"/>
  <c r="J109" i="9"/>
  <c r="K109" i="9" s="1"/>
  <c r="H109" i="9"/>
  <c r="H110" i="9"/>
  <c r="J110" i="9"/>
  <c r="K110" i="9" s="1"/>
  <c r="H160" i="9"/>
  <c r="J160" i="9"/>
  <c r="K160" i="9" s="1"/>
  <c r="H180" i="9"/>
  <c r="J180" i="9"/>
  <c r="K180" i="9" s="1"/>
  <c r="J32" i="9"/>
  <c r="K32" i="9" s="1"/>
  <c r="H32" i="9"/>
  <c r="J203" i="9"/>
  <c r="K203" i="9" s="1"/>
  <c r="H203" i="9"/>
  <c r="J235" i="9"/>
  <c r="K235" i="9" s="1"/>
  <c r="J114" i="9"/>
  <c r="K114" i="9" s="1"/>
  <c r="H114" i="9"/>
  <c r="J173" i="9"/>
  <c r="K173" i="9" s="1"/>
  <c r="H173" i="9"/>
  <c r="J154" i="9"/>
  <c r="K154" i="9" s="1"/>
  <c r="H154" i="9"/>
  <c r="J185" i="9"/>
  <c r="K185" i="9" s="1"/>
  <c r="H185" i="9"/>
  <c r="J248" i="9"/>
  <c r="K248" i="9" s="1"/>
  <c r="H248" i="9"/>
  <c r="J37" i="9"/>
  <c r="K37" i="9" s="1"/>
  <c r="H37" i="9"/>
  <c r="J17" i="9"/>
  <c r="K17" i="9" s="1"/>
  <c r="H17" i="9"/>
  <c r="H50" i="9"/>
  <c r="J62" i="9"/>
  <c r="K62" i="9" s="1"/>
  <c r="H62" i="9"/>
  <c r="J97" i="9"/>
  <c r="K97" i="9" s="1"/>
  <c r="H97" i="9"/>
  <c r="J159" i="9"/>
  <c r="K159" i="9" s="1"/>
  <c r="H159" i="9"/>
  <c r="J29" i="9"/>
  <c r="K29" i="9" s="1"/>
  <c r="H29" i="9"/>
  <c r="J190" i="9"/>
  <c r="K190" i="9" s="1"/>
  <c r="H190" i="9"/>
  <c r="J54" i="9"/>
  <c r="K54" i="9" s="1"/>
  <c r="H54" i="9"/>
  <c r="J150" i="9"/>
  <c r="K150" i="9" s="1"/>
  <c r="H150" i="9"/>
  <c r="H192" i="9"/>
  <c r="J192" i="9"/>
  <c r="K192" i="9" s="1"/>
  <c r="B18" i="7"/>
  <c r="H171" i="9"/>
  <c r="H21" i="9"/>
  <c r="J21" i="9"/>
  <c r="K21" i="9" s="1"/>
  <c r="J130" i="9"/>
  <c r="K130" i="9" s="1"/>
  <c r="H130" i="9"/>
  <c r="H59" i="9"/>
  <c r="J59" i="9"/>
  <c r="K59" i="9" s="1"/>
  <c r="J72" i="9"/>
  <c r="K72" i="9" s="1"/>
  <c r="H72" i="9"/>
  <c r="H104" i="9"/>
  <c r="J118" i="9"/>
  <c r="K118" i="9" s="1"/>
  <c r="H118" i="9"/>
  <c r="J158" i="9"/>
  <c r="K158" i="9" s="1"/>
  <c r="J22" i="9"/>
  <c r="K22" i="9" s="1"/>
  <c r="H22" i="9"/>
  <c r="H137" i="9"/>
  <c r="J208" i="9"/>
  <c r="K208" i="9" s="1"/>
  <c r="H216" i="9"/>
  <c r="J216" i="9"/>
  <c r="K216" i="9" s="1"/>
  <c r="H181" i="9"/>
  <c r="J181" i="9"/>
  <c r="K181" i="9" s="1"/>
  <c r="J249" i="9"/>
  <c r="K249" i="9" s="1"/>
  <c r="H249" i="9"/>
  <c r="J23" i="9"/>
  <c r="K23" i="9" s="1"/>
  <c r="H61" i="9"/>
  <c r="J113" i="9"/>
  <c r="K113" i="9" s="1"/>
  <c r="H113" i="9"/>
  <c r="J40" i="9"/>
  <c r="K40" i="9" s="1"/>
  <c r="H83" i="9"/>
  <c r="J84" i="9"/>
  <c r="K84" i="9" s="1"/>
  <c r="H84" i="9"/>
  <c r="H167" i="9"/>
  <c r="J68" i="9"/>
  <c r="K68" i="9" s="1"/>
  <c r="H68" i="9"/>
  <c r="H141" i="9"/>
  <c r="H184" i="9"/>
  <c r="H204" i="9"/>
  <c r="H211" i="9"/>
  <c r="J77" i="9"/>
  <c r="K77" i="9" s="1"/>
  <c r="J108" i="9"/>
  <c r="K108" i="9" s="1"/>
  <c r="H108" i="9"/>
  <c r="J55" i="9"/>
  <c r="K55" i="9" s="1"/>
  <c r="H55" i="9"/>
  <c r="J63" i="9"/>
  <c r="K63" i="9" s="1"/>
  <c r="J34" i="9"/>
  <c r="K34" i="9" s="1"/>
  <c r="H34" i="9"/>
  <c r="J134" i="9"/>
  <c r="K134" i="9" s="1"/>
  <c r="J70" i="9"/>
  <c r="K70" i="9" s="1"/>
  <c r="J123" i="9"/>
  <c r="K123" i="9" s="1"/>
  <c r="H123" i="9"/>
  <c r="J149" i="9"/>
  <c r="K149" i="9" s="1"/>
  <c r="H149" i="9"/>
  <c r="H87" i="9"/>
  <c r="J87" i="9"/>
  <c r="K87" i="9" s="1"/>
  <c r="J103" i="9"/>
  <c r="K103" i="9" s="1"/>
  <c r="H103" i="9"/>
  <c r="J117" i="9"/>
  <c r="K117" i="9" s="1"/>
  <c r="H117" i="9"/>
  <c r="H179" i="9"/>
  <c r="J207" i="9"/>
  <c r="K207" i="9" s="1"/>
  <c r="H13" i="9"/>
  <c r="J13" i="9"/>
  <c r="K13" i="9" s="1"/>
  <c r="H65" i="9"/>
  <c r="H195" i="9"/>
  <c r="J195" i="9"/>
  <c r="K195" i="9" s="1"/>
  <c r="J224" i="9"/>
  <c r="K224" i="9" s="1"/>
  <c r="H224" i="9"/>
  <c r="E21" i="7"/>
  <c r="F28" i="7"/>
  <c r="J30" i="9"/>
  <c r="K30" i="9" s="1"/>
  <c r="H30" i="9"/>
  <c r="J82" i="9"/>
  <c r="K82" i="9" s="1"/>
  <c r="H153" i="9"/>
  <c r="F30" i="7"/>
  <c r="F26" i="7"/>
  <c r="D4" i="7"/>
  <c r="J75" i="9"/>
  <c r="K75" i="9" s="1"/>
  <c r="H75" i="9"/>
  <c r="H139" i="9"/>
  <c r="J139" i="9"/>
  <c r="K139" i="9" s="1"/>
  <c r="J260" i="9"/>
  <c r="K260" i="9" s="1"/>
  <c r="H260" i="9"/>
  <c r="J76" i="9"/>
  <c r="K76" i="9" s="1"/>
  <c r="H76" i="9"/>
  <c r="H219" i="9"/>
  <c r="J219" i="9"/>
  <c r="K219" i="9" s="1"/>
  <c r="H261" i="9"/>
  <c r="H85" i="9"/>
  <c r="J33" i="9"/>
  <c r="K33" i="9" s="1"/>
  <c r="H33" i="9"/>
  <c r="H26" i="9"/>
  <c r="H78" i="9"/>
  <c r="J78" i="9"/>
  <c r="K78" i="9" s="1"/>
  <c r="H122" i="9"/>
  <c r="J135" i="9"/>
  <c r="K135" i="9" s="1"/>
  <c r="H198" i="9"/>
  <c r="J221" i="9"/>
  <c r="K221" i="9" s="1"/>
  <c r="H221" i="9"/>
  <c r="J56" i="9"/>
  <c r="K56" i="9" s="1"/>
  <c r="J35" i="9"/>
  <c r="K35" i="9" s="1"/>
  <c r="H39" i="9"/>
  <c r="J57" i="9"/>
  <c r="K57" i="9" s="1"/>
  <c r="H57" i="9"/>
  <c r="H168" i="9"/>
  <c r="E22" i="7"/>
  <c r="J81" i="9"/>
  <c r="K81" i="9" s="1"/>
  <c r="H14" i="9"/>
  <c r="J100" i="9"/>
  <c r="K100" i="9" s="1"/>
  <c r="H100" i="9"/>
  <c r="H151" i="9"/>
  <c r="H212" i="9"/>
  <c r="J244" i="9"/>
  <c r="K244" i="9" s="1"/>
  <c r="H169" i="9"/>
  <c r="J169" i="9"/>
  <c r="K169" i="9" s="1"/>
  <c r="J238" i="9"/>
  <c r="K238" i="9" s="1"/>
  <c r="H245" i="9"/>
  <c r="J245" i="9"/>
  <c r="K245" i="9" s="1"/>
  <c r="J213" i="9"/>
  <c r="K213" i="9" s="1"/>
  <c r="H213" i="9"/>
  <c r="H152" i="9"/>
  <c r="J152" i="9"/>
  <c r="K152" i="9" s="1"/>
  <c r="J188" i="9"/>
  <c r="K188" i="9" s="1"/>
  <c r="H188" i="9"/>
  <c r="J144" i="9"/>
  <c r="K144" i="9" s="1"/>
  <c r="H144" i="9"/>
  <c r="H252" i="9"/>
  <c r="J27" i="9"/>
  <c r="K27" i="9" s="1"/>
  <c r="J69" i="9"/>
  <c r="K69" i="9" s="1"/>
  <c r="J225" i="9"/>
  <c r="K225" i="9" s="1"/>
  <c r="H225" i="9"/>
  <c r="H157" i="9"/>
  <c r="J193" i="9"/>
  <c r="K193" i="9" s="1"/>
  <c r="H193" i="9"/>
  <c r="H226" i="9"/>
  <c r="H88" i="9"/>
  <c r="H176" i="9"/>
  <c r="J205" i="9"/>
  <c r="K205" i="9" s="1"/>
  <c r="H205" i="9"/>
  <c r="J111" i="9"/>
  <c r="K111" i="9" s="1"/>
  <c r="H111" i="9"/>
  <c r="J145" i="9"/>
  <c r="K145" i="9" s="1"/>
  <c r="J166" i="9"/>
  <c r="K166" i="9" s="1"/>
  <c r="H178" i="9"/>
  <c r="J178" i="9"/>
  <c r="K178" i="9" s="1"/>
  <c r="K116" i="9"/>
  <c r="B12" i="7"/>
  <c r="H254" i="9"/>
  <c r="J254" i="9"/>
  <c r="K254" i="9" s="1"/>
  <c r="H116" i="9"/>
  <c r="J222" i="9"/>
  <c r="K222" i="9" s="1"/>
  <c r="H222" i="9"/>
  <c r="J246" i="9"/>
  <c r="K246" i="9" s="1"/>
  <c r="H246" i="9"/>
  <c r="D9" i="7"/>
  <c r="H20" i="9"/>
  <c r="J52" i="9"/>
  <c r="K52" i="9" s="1"/>
  <c r="J73" i="9"/>
  <c r="K73" i="9" s="1"/>
  <c r="J140" i="9"/>
  <c r="K140" i="9" s="1"/>
  <c r="H140" i="9"/>
  <c r="H199" i="9"/>
  <c r="J31" i="9"/>
  <c r="K31" i="9" s="1"/>
  <c r="H200" i="9"/>
  <c r="J200" i="9"/>
  <c r="K200" i="9" s="1"/>
  <c r="H234" i="9"/>
  <c r="H240" i="9"/>
  <c r="H250" i="9"/>
  <c r="C21" i="30"/>
  <c r="D21" i="30" s="1"/>
  <c r="H89" i="9"/>
  <c r="C19" i="30"/>
  <c r="D19" i="30" s="1"/>
  <c r="C12" i="31"/>
  <c r="D12" i="31" s="1"/>
  <c r="C17" i="30"/>
  <c r="D17" i="30" s="1"/>
  <c r="C15" i="30"/>
  <c r="D15" i="30" s="1"/>
  <c r="C15" i="31"/>
  <c r="D15" i="31" s="1"/>
  <c r="C6" i="32"/>
  <c r="D6" i="32" s="1"/>
  <c r="C13" i="30"/>
  <c r="C18" i="31"/>
  <c r="D18" i="31" s="1"/>
  <c r="C13" i="31"/>
  <c r="D13" i="31" s="1"/>
  <c r="C20" i="30"/>
  <c r="D20" i="30" s="1"/>
  <c r="C18" i="30"/>
  <c r="D18" i="30" s="1"/>
  <c r="C16" i="31"/>
  <c r="D16" i="31" s="1"/>
  <c r="J182" i="9" l="1"/>
  <c r="K182" i="9" s="1"/>
  <c r="H127" i="9"/>
  <c r="H206" i="9"/>
  <c r="J206" i="9"/>
  <c r="K206" i="9" s="1"/>
  <c r="H232" i="9"/>
  <c r="H170" i="9"/>
  <c r="H19" i="9"/>
  <c r="J38" i="9"/>
  <c r="K38" i="9" s="1"/>
  <c r="J80" i="9"/>
  <c r="K80" i="9" s="1"/>
  <c r="J133" i="9"/>
  <c r="K133" i="9" s="1"/>
  <c r="H131" i="9"/>
  <c r="H253" i="9"/>
  <c r="H164" i="9"/>
  <c r="J148" i="9"/>
  <c r="K148" i="9" s="1"/>
  <c r="H138" i="9"/>
  <c r="H241" i="9"/>
  <c r="J241" i="9"/>
  <c r="K241" i="9" s="1"/>
  <c r="H15" i="9"/>
  <c r="H43" i="9"/>
  <c r="H223" i="9"/>
  <c r="H147" i="9"/>
  <c r="H142" i="9"/>
  <c r="J25" i="9"/>
  <c r="K25" i="9" s="1"/>
  <c r="J79" i="9"/>
  <c r="K79" i="9" s="1"/>
  <c r="J197" i="9"/>
  <c r="K197" i="9" s="1"/>
  <c r="J227" i="9"/>
  <c r="K227" i="9" s="1"/>
  <c r="H45" i="9"/>
  <c r="J136" i="9"/>
  <c r="K136" i="9" s="1"/>
  <c r="J46" i="9"/>
  <c r="K46" i="9" s="1"/>
  <c r="B13" i="7"/>
  <c r="B15" i="7"/>
  <c r="H93" i="9"/>
  <c r="J220" i="9"/>
  <c r="K220" i="9" s="1"/>
  <c r="H124" i="9"/>
  <c r="J86" i="9"/>
  <c r="K86" i="9" s="1"/>
  <c r="H121" i="9"/>
  <c r="H74" i="9"/>
  <c r="H92" i="9"/>
  <c r="H209" i="9"/>
  <c r="H231" i="9"/>
  <c r="J106" i="9"/>
  <c r="K106" i="9" s="1"/>
  <c r="J112" i="9"/>
  <c r="K112" i="9" s="1"/>
  <c r="J228" i="9"/>
  <c r="K228" i="9" s="1"/>
  <c r="H191" i="9"/>
  <c r="H58" i="9"/>
  <c r="H41" i="9"/>
  <c r="H102" i="9"/>
  <c r="H243" i="9"/>
  <c r="H125" i="9"/>
  <c r="H210" i="9"/>
  <c r="J99" i="9"/>
  <c r="K99" i="9" s="1"/>
  <c r="J53" i="9"/>
  <c r="K53" i="9" s="1"/>
  <c r="H155" i="9"/>
  <c r="J120" i="9"/>
  <c r="K120" i="9" s="1"/>
  <c r="H189" i="9"/>
  <c r="H36" i="9"/>
  <c r="H91" i="9"/>
  <c r="H217" i="9"/>
  <c r="H119" i="9"/>
  <c r="H11" i="9"/>
  <c r="H236" i="9"/>
  <c r="J242" i="9"/>
  <c r="K242" i="9" s="1"/>
  <c r="J229" i="9"/>
  <c r="K229" i="9" s="1"/>
  <c r="B11" i="7"/>
  <c r="K124" i="9"/>
  <c r="H95" i="9"/>
  <c r="J95" i="9"/>
  <c r="K95" i="9" s="1"/>
  <c r="H94" i="9"/>
  <c r="H183" i="9"/>
  <c r="B14" i="7"/>
  <c r="D18" i="7"/>
  <c r="D13" i="30"/>
  <c r="B17" i="7"/>
  <c r="D17" i="7" s="1"/>
  <c r="K11" i="9"/>
  <c r="B16" i="7"/>
  <c r="F34" i="7" l="1"/>
  <c r="F35" i="7"/>
  <c r="F36" i="7" s="1"/>
  <c r="E11" i="7"/>
  <c r="E17" i="7"/>
  <c r="E23" i="7" l="1"/>
  <c r="B78" i="28" s="1"/>
  <c r="B79" i="28" s="1"/>
  <c r="B81" i="28" s="1"/>
  <c r="B77" i="28" l="1"/>
  <c r="B80" i="28"/>
</calcChain>
</file>

<file path=xl/sharedStrings.xml><?xml version="1.0" encoding="utf-8"?>
<sst xmlns="http://schemas.openxmlformats.org/spreadsheetml/2006/main" count="1946" uniqueCount="1443">
  <si>
    <t>Residency Status</t>
  </si>
  <si>
    <t>Medium</t>
  </si>
  <si>
    <t>Low</t>
  </si>
  <si>
    <t>High</t>
  </si>
  <si>
    <t>Cyprus</t>
  </si>
  <si>
    <t>Employment Status</t>
  </si>
  <si>
    <t>Denmark</t>
  </si>
  <si>
    <t>Dominican Republic</t>
  </si>
  <si>
    <t>Ecuador</t>
  </si>
  <si>
    <t>Egypt</t>
  </si>
  <si>
    <t>Eritrea</t>
  </si>
  <si>
    <t>Ethiopia</t>
  </si>
  <si>
    <t>Finland</t>
  </si>
  <si>
    <t>France</t>
  </si>
  <si>
    <t>Gabon</t>
  </si>
  <si>
    <t>Gambia</t>
  </si>
  <si>
    <t>Ghana</t>
  </si>
  <si>
    <t>Greece</t>
  </si>
  <si>
    <t>Grenada</t>
  </si>
  <si>
    <t>Guatemala</t>
  </si>
  <si>
    <t>Guinea</t>
  </si>
  <si>
    <t>Guinea-Bissau</t>
  </si>
  <si>
    <t>AML Risk Score:</t>
  </si>
  <si>
    <t>Hungary</t>
  </si>
  <si>
    <t>Iceland</t>
  </si>
  <si>
    <t>India</t>
  </si>
  <si>
    <t>Indonesia</t>
  </si>
  <si>
    <t>Iraq</t>
  </si>
  <si>
    <t>Ireland</t>
  </si>
  <si>
    <t>Italy</t>
  </si>
  <si>
    <t>Jamaica</t>
  </si>
  <si>
    <t>Japan</t>
  </si>
  <si>
    <t>Jordan</t>
  </si>
  <si>
    <t>Madagascar</t>
  </si>
  <si>
    <t>Malawi</t>
  </si>
  <si>
    <t>Malaysia</t>
  </si>
  <si>
    <t>Maldives</t>
  </si>
  <si>
    <t>Mali</t>
  </si>
  <si>
    <t>Malta</t>
  </si>
  <si>
    <t>Mauritania</t>
  </si>
  <si>
    <t>Mexico</t>
  </si>
  <si>
    <t>Morocco</t>
  </si>
  <si>
    <t>Mozambique</t>
  </si>
  <si>
    <t>Myanmar</t>
  </si>
  <si>
    <t>Nepal</t>
  </si>
  <si>
    <t>Nicaragua</t>
  </si>
  <si>
    <t>Niger</t>
  </si>
  <si>
    <t>Nigeria</t>
  </si>
  <si>
    <t>Norway</t>
  </si>
  <si>
    <t>Oman</t>
  </si>
  <si>
    <t>Pakistan</t>
  </si>
  <si>
    <t>Panama</t>
  </si>
  <si>
    <t>Paraguay</t>
  </si>
  <si>
    <t>Peru</t>
  </si>
  <si>
    <t>Poland</t>
  </si>
  <si>
    <t>Portugal</t>
  </si>
  <si>
    <t>Qatar</t>
  </si>
  <si>
    <t>Romania</t>
  </si>
  <si>
    <t>Rwanda</t>
  </si>
  <si>
    <t>Seychelles</t>
  </si>
  <si>
    <t>Sierra Leone</t>
  </si>
  <si>
    <t>Singapore</t>
  </si>
  <si>
    <t>Slovakia</t>
  </si>
  <si>
    <t>Somalia</t>
  </si>
  <si>
    <t>South Africa</t>
  </si>
  <si>
    <t>Spain</t>
  </si>
  <si>
    <t>Sudan</t>
  </si>
  <si>
    <t>Swaziland</t>
  </si>
  <si>
    <t>Sweden</t>
  </si>
  <si>
    <t>Switzerland</t>
  </si>
  <si>
    <t>Taiwan</t>
  </si>
  <si>
    <t>Tanzania</t>
  </si>
  <si>
    <t>Thailand</t>
  </si>
  <si>
    <t>Togo</t>
  </si>
  <si>
    <t>Tunisia</t>
  </si>
  <si>
    <t>Turkmenistan</t>
  </si>
  <si>
    <t>Uganda</t>
  </si>
  <si>
    <t>Ukraine</t>
  </si>
  <si>
    <t>United States of America</t>
  </si>
  <si>
    <t>Uruguay</t>
  </si>
  <si>
    <t>Venezuela</t>
  </si>
  <si>
    <t>Vietnam</t>
  </si>
  <si>
    <t>Yemen</t>
  </si>
  <si>
    <t>Zambia</t>
  </si>
  <si>
    <t>Zimbabwe</t>
  </si>
  <si>
    <t>Type</t>
  </si>
  <si>
    <t>Accountant</t>
  </si>
  <si>
    <t>Auditor</t>
  </si>
  <si>
    <t>Banker</t>
  </si>
  <si>
    <t>Barber</t>
  </si>
  <si>
    <t>Carpenter</t>
  </si>
  <si>
    <t>Consultant</t>
  </si>
  <si>
    <t>Cook</t>
  </si>
  <si>
    <t>Electrician</t>
  </si>
  <si>
    <t>Mechanic</t>
  </si>
  <si>
    <t>Photographer</t>
  </si>
  <si>
    <t>Police Officer</t>
  </si>
  <si>
    <t>Secretary</t>
  </si>
  <si>
    <t>Security Guard</t>
  </si>
  <si>
    <t>Student</t>
  </si>
  <si>
    <t>Tailor</t>
  </si>
  <si>
    <t>Telephone Operator</t>
  </si>
  <si>
    <t>Translator</t>
  </si>
  <si>
    <t>Unemployed</t>
  </si>
  <si>
    <t>Waiter</t>
  </si>
  <si>
    <t>Welder</t>
  </si>
  <si>
    <t>AML Individual Customer Risk Rating</t>
  </si>
  <si>
    <t>Risk Factor</t>
  </si>
  <si>
    <t>Weightage</t>
  </si>
  <si>
    <t>Status</t>
  </si>
  <si>
    <t>Rating</t>
  </si>
  <si>
    <t>Residence Status</t>
  </si>
  <si>
    <t>Customer Segment</t>
  </si>
  <si>
    <t>PEP Status</t>
  </si>
  <si>
    <t>Country of Residence</t>
  </si>
  <si>
    <t>Country of Birth</t>
  </si>
  <si>
    <t>Primary Nationality</t>
  </si>
  <si>
    <t>Alternate Nationality</t>
  </si>
  <si>
    <t>AML Country Risk Rating</t>
  </si>
  <si>
    <t>Rating scale</t>
  </si>
  <si>
    <t>Ranking</t>
  </si>
  <si>
    <t>Range lower</t>
  </si>
  <si>
    <t>Range upper</t>
  </si>
  <si>
    <t>Country</t>
  </si>
  <si>
    <t>FATF AML/CFT Deficient Country</t>
  </si>
  <si>
    <t>Sanctions</t>
  </si>
  <si>
    <t>Terrorist Safe Havens</t>
  </si>
  <si>
    <t>Overall Country Rating</t>
  </si>
  <si>
    <t>Overall Country Ranking</t>
  </si>
  <si>
    <t>Afghanistan</t>
  </si>
  <si>
    <t>Albania</t>
  </si>
  <si>
    <t>Algeria</t>
  </si>
  <si>
    <t>Andorra</t>
  </si>
  <si>
    <t>Angola</t>
  </si>
  <si>
    <t>Anguilla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</si>
  <si>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</si>
  <si>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</si>
  <si>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</si>
  <si>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</si>
  <si>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</si>
  <si>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</si>
  <si>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</si>
  <si>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</si>
  <si>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</si>
  <si>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</si>
  <si>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</si>
  <si>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</si>
  <si>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</si>
  <si>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</si>
  <si>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</si>
  <si>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</si>
  <si>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</si>
  <si>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</si>
  <si>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Bosnia-Herzegovina</t>
  </si>
  <si>
    <t>Botswana</t>
  </si>
  <si>
    <t>Brazil</t>
  </si>
  <si>
    <t>British Virgin Islands</t>
  </si>
  <si>
    <t>Brunei</t>
  </si>
  <si>
    <t>Bulgaria</t>
  </si>
  <si>
    <t>Burkina Faso</t>
  </si>
  <si>
    <t>Burundi</t>
  </si>
  <si>
    <t>Cambodia</t>
  </si>
  <si>
    <t>Cameroon</t>
  </si>
  <si>
    <t>Canada</t>
  </si>
  <si>
    <t>Cape Verde</t>
  </si>
  <si>
    <t>Cayman Islands</t>
  </si>
  <si>
    <t>Central African Republic</t>
  </si>
  <si>
    <t>Chad</t>
  </si>
  <si>
    <t>Chile</t>
  </si>
  <si>
    <t>China</t>
  </si>
  <si>
    <t>Colombia</t>
  </si>
  <si>
    <t>Comoros</t>
  </si>
  <si>
    <t>Cook Islands</t>
  </si>
  <si>
    <t>Costa Rica</t>
  </si>
  <si>
    <t>Cote D’ivoire</t>
  </si>
  <si>
    <t>Croatia</t>
  </si>
  <si>
    <t>Cuba</t>
  </si>
  <si>
    <t>Curacao</t>
  </si>
  <si>
    <t>Czech Republic</t>
  </si>
  <si>
    <t>Democratic Republic of the Congo</t>
  </si>
  <si>
    <t>Djibouti</t>
  </si>
  <si>
    <t>Dominica</t>
  </si>
  <si>
    <t>El Salvador</t>
  </si>
  <si>
    <t>Equatorial Guinea</t>
  </si>
  <si>
    <t>Estonia</t>
  </si>
  <si>
    <t>Georgia</t>
  </si>
  <si>
    <t>Germany</t>
  </si>
  <si>
    <t>Guyana</t>
  </si>
  <si>
    <t>Haiti</t>
  </si>
  <si>
    <t>Honduras</t>
  </si>
  <si>
    <t>Hong Kong</t>
  </si>
  <si>
    <t>Iran</t>
  </si>
  <si>
    <t>Israel</t>
  </si>
  <si>
    <t>Kazakhstan</t>
  </si>
  <si>
    <t>Kenya</t>
  </si>
  <si>
    <t>Kosovo</t>
  </si>
  <si>
    <t>Kuwait</t>
  </si>
  <si>
    <t>Kyrgyzstan</t>
  </si>
  <si>
    <t>Laos</t>
  </si>
  <si>
    <t>Latvia</t>
  </si>
  <si>
    <t>Lebanon</t>
  </si>
  <si>
    <t>Lesotho</t>
  </si>
  <si>
    <t>Liberia</t>
  </si>
  <si>
    <t>Libya</t>
  </si>
  <si>
    <t>Liechtenstein</t>
  </si>
  <si>
    <t>Lithuania</t>
  </si>
  <si>
    <t>Luxembourg</t>
  </si>
  <si>
    <t>Macao</t>
  </si>
  <si>
    <t>Macedonia</t>
  </si>
  <si>
    <t>Marshall Islands</t>
  </si>
  <si>
    <t>Mauritius</t>
  </si>
  <si>
    <t>Moldova</t>
  </si>
  <si>
    <t>Monaco</t>
  </si>
  <si>
    <t>Mongolia</t>
  </si>
  <si>
    <t>Montenegro</t>
  </si>
  <si>
    <t>Namibia</t>
  </si>
  <si>
    <t>Nauru</t>
  </si>
  <si>
    <t>Netherlands</t>
  </si>
  <si>
    <t>New Zealand</t>
  </si>
  <si>
    <t>North Korea</t>
  </si>
  <si>
    <t>Philippines</t>
  </si>
  <si>
    <t>Puerto Rico</t>
  </si>
  <si>
    <t>Republic of Congo</t>
  </si>
  <si>
    <t>Russia</t>
  </si>
  <si>
    <t>San Marino</t>
  </si>
  <si>
    <t>Samoa</t>
  </si>
  <si>
    <t>Sao Tome &amp; Principe</t>
  </si>
  <si>
    <t>Saudi Arabia</t>
  </si>
  <si>
    <t>Senegal</t>
  </si>
  <si>
    <t>Serbia</t>
  </si>
  <si>
    <t>Slovenia</t>
  </si>
  <si>
    <t>Solomon Islands</t>
  </si>
  <si>
    <t>South Korea</t>
  </si>
  <si>
    <t>South Sudan</t>
  </si>
  <si>
    <t>Sri Lanka</t>
  </si>
  <si>
    <t>St. Kitts and Nevis</t>
  </si>
  <si>
    <t>St. Lucia</t>
  </si>
  <si>
    <t>St. Vincent And The Grenadines</t>
  </si>
  <si>
    <t>Suriname</t>
  </si>
  <si>
    <t>Syria</t>
  </si>
  <si>
    <t>Tajikistan</t>
  </si>
  <si>
    <t>Timor-Leste (east Timor)</t>
  </si>
  <si>
    <t>Trinidad &amp; Tobago</t>
  </si>
  <si>
    <t>Turks and Caicos Islands</t>
  </si>
  <si>
    <t>United Arab Emirates</t>
  </si>
  <si>
    <t>Uzbekistan</t>
  </si>
  <si>
    <t>Vanuatu</t>
  </si>
  <si>
    <t>Profession</t>
  </si>
  <si>
    <t>Liquidity</t>
  </si>
  <si>
    <t>Cross Border</t>
  </si>
  <si>
    <t>Third-party payment</t>
  </si>
  <si>
    <t>Currency conversion</t>
  </si>
  <si>
    <t>Portability</t>
  </si>
  <si>
    <t>Anonymity</t>
  </si>
  <si>
    <t>Option</t>
  </si>
  <si>
    <t>Score</t>
  </si>
  <si>
    <t>Quickly</t>
  </si>
  <si>
    <t>Likely</t>
  </si>
  <si>
    <t>Yes</t>
  </si>
  <si>
    <t>No</t>
  </si>
  <si>
    <t>Overall score</t>
  </si>
  <si>
    <t>Customer Interface and Channel Information</t>
  </si>
  <si>
    <t>Reviewed by</t>
  </si>
  <si>
    <t>Customer segment</t>
  </si>
  <si>
    <t>Parameter</t>
  </si>
  <si>
    <t>Customer type Risk</t>
  </si>
  <si>
    <t>Channel risk</t>
  </si>
  <si>
    <t>Risk Factor score</t>
  </si>
  <si>
    <t>Final number score</t>
  </si>
  <si>
    <t>Take greatest score</t>
  </si>
  <si>
    <t>Parameter Weightage (%)</t>
  </si>
  <si>
    <t>Final Risk Factor weightage (%)</t>
  </si>
  <si>
    <t>Risk Level</t>
  </si>
  <si>
    <t>From</t>
  </si>
  <si>
    <t>To</t>
  </si>
  <si>
    <t>Purpose</t>
  </si>
  <si>
    <t>Output</t>
  </si>
  <si>
    <t>Model description</t>
  </si>
  <si>
    <t>Not Applicable</t>
  </si>
  <si>
    <t>Prohibited</t>
  </si>
  <si>
    <t xml:space="preserve">INDIVIDUAL CUSTOMER                                                                                                </t>
  </si>
  <si>
    <t>Next Review/Refresh Date(MM/DD/YYYY)</t>
  </si>
  <si>
    <t>Volume</t>
  </si>
  <si>
    <t>Unlikely</t>
  </si>
  <si>
    <t>Geography Risk</t>
  </si>
  <si>
    <t>Fiji</t>
  </si>
  <si>
    <t>Micronesia</t>
  </si>
  <si>
    <t>Tonga</t>
  </si>
  <si>
    <t>Palau</t>
  </si>
  <si>
    <t>Risk assessment</t>
  </si>
  <si>
    <t>Prepared by</t>
  </si>
  <si>
    <t>Average expected transaction value per annum</t>
  </si>
  <si>
    <t>Retired</t>
  </si>
  <si>
    <t>Media</t>
  </si>
  <si>
    <t>Business Owner</t>
  </si>
  <si>
    <t>Low Risk</t>
  </si>
  <si>
    <t>Medium Risk</t>
  </si>
  <si>
    <t>High Risk</t>
  </si>
  <si>
    <t>Nature of Business</t>
  </si>
  <si>
    <t>The Customer Risk Assessment Model is based on five compliance risk factors: "Customer Type", "Geography", "Products &amp; Services" , "Channel &amp; Interface" and "Transaction".
Within each risk factor, parameters have been defined and assigned a risk score. 
Subsequently each risk factor has been assigned a weight basis which the client's final risk rating is computed.</t>
  </si>
  <si>
    <t>Based on the input data, the model will generate a risk rating of the customer.</t>
  </si>
  <si>
    <t>Nature of business</t>
  </si>
  <si>
    <t>Transaction Investigation Risk</t>
  </si>
  <si>
    <t>Override</t>
  </si>
  <si>
    <t>Papua New Guinea</t>
  </si>
  <si>
    <t>South Georgia &amp; South Sandwich Islands</t>
  </si>
  <si>
    <t>Turkey</t>
  </si>
  <si>
    <t>Salaried from government/ semi-government sector</t>
  </si>
  <si>
    <t>Salaried from private sector (Including multi-national companies)</t>
  </si>
  <si>
    <t>Salaried from free-zone corporations</t>
  </si>
  <si>
    <t>Self Employed/Freelancer</t>
  </si>
  <si>
    <t>House Wife / Dependent</t>
  </si>
  <si>
    <t>Others</t>
  </si>
  <si>
    <t>Domestic PEP</t>
  </si>
  <si>
    <t>Actor</t>
  </si>
  <si>
    <t>Cashier</t>
  </si>
  <si>
    <t>CEO</t>
  </si>
  <si>
    <t>Chairman</t>
  </si>
  <si>
    <t>Chief Cashier</t>
  </si>
  <si>
    <t>Chief Financial Officer</t>
  </si>
  <si>
    <t>Chief Operating Officer</t>
  </si>
  <si>
    <t>Chief Technical In Charge</t>
  </si>
  <si>
    <t>Chief Technology Officer</t>
  </si>
  <si>
    <t>Choreographer</t>
  </si>
  <si>
    <t>Controller /Dept Head</t>
  </si>
  <si>
    <t>Craftsmen</t>
  </si>
  <si>
    <t>DCEO</t>
  </si>
  <si>
    <t>Director</t>
  </si>
  <si>
    <t>Diver</t>
  </si>
  <si>
    <t>Driver</t>
  </si>
  <si>
    <t>Executive Vice President</t>
  </si>
  <si>
    <t>Finance Controller</t>
  </si>
  <si>
    <t>Financial Advisor</t>
  </si>
  <si>
    <t>Fishermen</t>
  </si>
  <si>
    <t>Foreman</t>
  </si>
  <si>
    <t>Housewife</t>
  </si>
  <si>
    <t>HR Director</t>
  </si>
  <si>
    <t>Lawyer / Advocate</t>
  </si>
  <si>
    <t>Manager</t>
  </si>
  <si>
    <t>Managing Director</t>
  </si>
  <si>
    <t>Musician</t>
  </si>
  <si>
    <t>Partner</t>
  </si>
  <si>
    <t>Physicist</t>
  </si>
  <si>
    <t>Pipe Fitter</t>
  </si>
  <si>
    <t>Plumber</t>
  </si>
  <si>
    <t>President</t>
  </si>
  <si>
    <t>Programmer</t>
  </si>
  <si>
    <t>Promoter</t>
  </si>
  <si>
    <t>Sailor</t>
  </si>
  <si>
    <t>Salesman</t>
  </si>
  <si>
    <t>Software Developer</t>
  </si>
  <si>
    <t>Sportsman</t>
  </si>
  <si>
    <t>Store Keeper</t>
  </si>
  <si>
    <t>Supervisor</t>
  </si>
  <si>
    <t>Taxi Driver</t>
  </si>
  <si>
    <t>Tour Guide</t>
  </si>
  <si>
    <t>Treasurer</t>
  </si>
  <si>
    <t>Typist</t>
  </si>
  <si>
    <t>Vice President</t>
  </si>
  <si>
    <t>Administration/Clerical Services</t>
  </si>
  <si>
    <t>Advertising and Marketing</t>
  </si>
  <si>
    <t>Aerospace manufacturing and related technologies</t>
  </si>
  <si>
    <t>Agriculture</t>
  </si>
  <si>
    <t>All Others</t>
  </si>
  <si>
    <t>Art or Antique Dealer</t>
  </si>
  <si>
    <t>Auction Houses</t>
  </si>
  <si>
    <t>Bullion / Commodity Traders</t>
  </si>
  <si>
    <t>Central Banks</t>
  </si>
  <si>
    <t>Civil Servants (including Police)</t>
  </si>
  <si>
    <t>Commodity trading</t>
  </si>
  <si>
    <t>Crowd Funding / Peer to Peer Lending</t>
  </si>
  <si>
    <t>Custodian</t>
  </si>
  <si>
    <t>Diamonds, Jewellery, Precious Stones and Metals Manufacturers and Dealers</t>
  </si>
  <si>
    <t>Education</t>
  </si>
  <si>
    <t>Embassies, Consulates and Diplomatic Mission</t>
  </si>
  <si>
    <t>Engineering</t>
  </si>
  <si>
    <t>Entertainment, performing arts professionals and Event Management</t>
  </si>
  <si>
    <t>Fashion</t>
  </si>
  <si>
    <t>Fishing/Fisheries</t>
  </si>
  <si>
    <t>Foreign Governments</t>
  </si>
  <si>
    <t>General Trading</t>
  </si>
  <si>
    <t>Hairdressing and other beauty treatment</t>
  </si>
  <si>
    <t>Infrastructure (Roads, Communal Areas, Bridges)</t>
  </si>
  <si>
    <t>Landscaping</t>
  </si>
  <si>
    <t>Legal, consulting and accounting activities</t>
  </si>
  <si>
    <t>Licensed Hawaladars and Hundi Dealers</t>
  </si>
  <si>
    <t>Maintenance and repair of motor vehicles</t>
  </si>
  <si>
    <t>Manufacturing of tobacco and related products</t>
  </si>
  <si>
    <t>Medical activities (Medical Clinics, Dental Clinics, Hospitals, Opticians and Pharmacies)</t>
  </si>
  <si>
    <t>Motor Vehicle Manufacturers</t>
  </si>
  <si>
    <t>Narcotics</t>
  </si>
  <si>
    <t>New Automobile Sales</t>
  </si>
  <si>
    <t>Pork and related products manufacturers and dealers</t>
  </si>
  <si>
    <t>Printing (including newspaper printing, books printing and publishing)</t>
  </si>
  <si>
    <t>Real Estate</t>
  </si>
  <si>
    <t>Regulated Money Service Business</t>
  </si>
  <si>
    <t>Religious Groups and Societies</t>
  </si>
  <si>
    <t>Restaurants and mobile food service activities</t>
  </si>
  <si>
    <t>Security Services</t>
  </si>
  <si>
    <t>Spare Parts Dealers</t>
  </si>
  <si>
    <t>Transportation - Air Travel</t>
  </si>
  <si>
    <t>Transportation - Others</t>
  </si>
  <si>
    <t>Transportation - Shipping</t>
  </si>
  <si>
    <t>Trusts, Nominee and Fiduciary Accounts</t>
  </si>
  <si>
    <t>Unregulated Money Service Business</t>
  </si>
  <si>
    <t>Used Automobile Sales</t>
  </si>
  <si>
    <t>Utilities providers (Water, electricity, gas)</t>
  </si>
  <si>
    <t>Virtual Currency Business</t>
  </si>
  <si>
    <t>Wholesale construction materials, plumbing, heating supplies</t>
  </si>
  <si>
    <t>Highly Likely</t>
  </si>
  <si>
    <t>With Difficulty</t>
  </si>
  <si>
    <t>Slowly</t>
  </si>
  <si>
    <t>Foreign PEP</t>
  </si>
  <si>
    <t>Product Risk</t>
  </si>
  <si>
    <t>Screening matches</t>
  </si>
  <si>
    <t>Resident</t>
  </si>
  <si>
    <t>Non Resident</t>
  </si>
  <si>
    <t>Customer Name</t>
  </si>
  <si>
    <t>Customer Relationship</t>
  </si>
  <si>
    <t>Customer Status</t>
  </si>
  <si>
    <t>Average Expected Transaction Value Per Annum</t>
  </si>
  <si>
    <t>Does the Customer have Dual Nationality</t>
  </si>
  <si>
    <t>Transaction Information</t>
  </si>
  <si>
    <t>AML Risk Level</t>
  </si>
  <si>
    <t>Manual Override by MLRO</t>
  </si>
  <si>
    <t>Justification for Override</t>
  </si>
  <si>
    <t>Preparation Date(DD/MM/YYYY)</t>
  </si>
  <si>
    <t>Review Date(DD/MM/YYYY)</t>
  </si>
  <si>
    <t>False Match</t>
  </si>
  <si>
    <t xml:space="preserve"> How easily/quickly can the product be transferred into cash or another asset class?</t>
  </si>
  <si>
    <t>Will the transaction be mixed with a greater or lesser number of other legitimate transactions?</t>
  </si>
  <si>
    <t xml:space="preserve"> Will the controller of the account be able to make any payment or transfer to another entity?</t>
  </si>
  <si>
    <t xml:space="preserve"> Do the product features provide anonymity for the product owner, or beneficiary?</t>
  </si>
  <si>
    <t>1 and above</t>
  </si>
  <si>
    <t>Number</t>
  </si>
  <si>
    <t>S.no</t>
  </si>
  <si>
    <t xml:space="preserve"> </t>
  </si>
  <si>
    <t>Commercial Banks (including Private, Public and Foreign Banks)</t>
  </si>
  <si>
    <t>Retail Trade</t>
  </si>
  <si>
    <t>Wholesale on a fee or contract basis (Commercial Broker Entity)</t>
  </si>
  <si>
    <t>Asset Management</t>
  </si>
  <si>
    <t>Insurance Companies</t>
  </si>
  <si>
    <t>Investment Companies (including funds)</t>
  </si>
  <si>
    <t>Mutual Funds</t>
  </si>
  <si>
    <t>Activities of holding companies</t>
  </si>
  <si>
    <t>Activities of membership organizations</t>
  </si>
  <si>
    <t>Administration of financial markets</t>
  </si>
  <si>
    <t>Animal and Poultry Farming</t>
  </si>
  <si>
    <t>Building and Industrial cleaning activities</t>
  </si>
  <si>
    <t>Charities and Trade Unions (including association and clubs)</t>
  </si>
  <si>
    <t>Communication (inc manufacturing, trade and repair of electronic, telecommunications equipment, parts)</t>
  </si>
  <si>
    <t>Construction (including contracting)</t>
  </si>
  <si>
    <t>E-Commerce and related service providers</t>
  </si>
  <si>
    <t>Electrical/Electronics industries (including manufacturing, trade, repair and installation)</t>
  </si>
  <si>
    <t>Extraction of peat</t>
  </si>
  <si>
    <t>Extraction of salt</t>
  </si>
  <si>
    <t>Financial Leasing</t>
  </si>
  <si>
    <t>Funeral and related activities</t>
  </si>
  <si>
    <t>Information technology (including manufacturing, trade and repair of computers, peripheral equipment and software)</t>
  </si>
  <si>
    <t>Leasing/Renting enterprises (Others)</t>
  </si>
  <si>
    <t>Manufacturing - Others</t>
  </si>
  <si>
    <t>Manufacturing and trading of food (including processing and preserving)</t>
  </si>
  <si>
    <t>Manufacturing and trading of non-alcoholic beverages</t>
  </si>
  <si>
    <t>Manufacturing of articles of concrete, cement and plaster</t>
  </si>
  <si>
    <t>Manufacturing of cement, lime and plaster</t>
  </si>
  <si>
    <t>Manufacturing of clay building materials</t>
  </si>
  <si>
    <t>Manufacturing of fertilizers and nitrogen compounds</t>
  </si>
  <si>
    <t>Manufacturing of glass and glass products</t>
  </si>
  <si>
    <t>Manufacturing of man-made fibres</t>
  </si>
  <si>
    <t>Manufacturing of medical and dental instruments and supplies</t>
  </si>
  <si>
    <t>Manufacturing of other porcelain and ceramic products</t>
  </si>
  <si>
    <t>Manufacturing of other rubber products</t>
  </si>
  <si>
    <t>Manufacturing of pesticides and other agrochemical products</t>
  </si>
  <si>
    <t>Manufacturing of plastics and synthetic rubber in primary forms</t>
  </si>
  <si>
    <t>Manufacturing of plastics products</t>
  </si>
  <si>
    <t>Manufacturing of refractory products</t>
  </si>
  <si>
    <t>Manufacturing of rubber tyres, tubes, retreading and rebuilding rubber tyres</t>
  </si>
  <si>
    <t>Manufacturing of steam generators, central heating and water boilers</t>
  </si>
  <si>
    <t>Manufacturing of tanks, reservoirs and containers of metal</t>
  </si>
  <si>
    <t>Mining and Quarrying (including ores and minerals)</t>
  </si>
  <si>
    <t>Non-specialized wholesale trade</t>
  </si>
  <si>
    <t>Other Financial Institutions (including auxiliary services)</t>
  </si>
  <si>
    <t>Other Non Banking Financial Institutions (including auxiliary services)</t>
  </si>
  <si>
    <t>Other retail sale in non-specialized stores</t>
  </si>
  <si>
    <t>Paper and wood manufacturing and trading (including related products)</t>
  </si>
  <si>
    <t>Pharmaceuticals (including manufacturing and trade)</t>
  </si>
  <si>
    <t>Photocopying, document preparation and specialized office support</t>
  </si>
  <si>
    <t>Photographic activities</t>
  </si>
  <si>
    <t>Postal and Courier Services</t>
  </si>
  <si>
    <t>Raising of swine/pigs</t>
  </si>
  <si>
    <t>Renting and leasing of motor vehicles</t>
  </si>
  <si>
    <t>Renting and leasing of other machinery, equipment and tangible goods</t>
  </si>
  <si>
    <t>Renting and leasing of other personal and household goods</t>
  </si>
  <si>
    <t>Renting and leasing of recreational and sports goods</t>
  </si>
  <si>
    <t>Renting of video tapes and disks</t>
  </si>
  <si>
    <t>Repair - Others</t>
  </si>
  <si>
    <t>Repair of electronic and optical equipment</t>
  </si>
  <si>
    <t>Repair of fabricated metal products</t>
  </si>
  <si>
    <t>Repair of footwear and leather goods</t>
  </si>
  <si>
    <t>Repair of furniture and home furnishings</t>
  </si>
  <si>
    <t>Repair of household appliances and home and garden equipment</t>
  </si>
  <si>
    <t>Repair of machinery</t>
  </si>
  <si>
    <t>Repair of other personal and household goods</t>
  </si>
  <si>
    <t>Repair of transport equipment, except motor vehicles</t>
  </si>
  <si>
    <t>Research and Engineering</t>
  </si>
  <si>
    <t>Retail sale via mail order houses or via Internet</t>
  </si>
  <si>
    <t>Sewerage, Waste Management and Remediation Activities</t>
  </si>
  <si>
    <t>Shipbuilding and Shipyard activities</t>
  </si>
  <si>
    <t>Support services to forestry</t>
  </si>
  <si>
    <t>Textile and Footwear (including manufacturing, trade and cleaning)</t>
  </si>
  <si>
    <t>Trade of tobacco and related products (Wholesale and Retail)</t>
  </si>
  <si>
    <t>Warehousing and Logistic Service Providers (including cargo handling)</t>
  </si>
  <si>
    <t>Wholesale - Others</t>
  </si>
  <si>
    <t>Wholesale of agricultural raw materials and live animals</t>
  </si>
  <si>
    <t>Wholesale of waste and scrap</t>
  </si>
  <si>
    <t>Wholesale Trade : General</t>
  </si>
  <si>
    <t>Accounting Clerk</t>
  </si>
  <si>
    <t>Accounting Manager</t>
  </si>
  <si>
    <t>Administration Manager</t>
  </si>
  <si>
    <t>Administrative Officer</t>
  </si>
  <si>
    <t>Advertising Designer</t>
  </si>
  <si>
    <t>Advertising Representative</t>
  </si>
  <si>
    <t>Aged Care Services Manager</t>
  </si>
  <si>
    <t>Agricultural Manager</t>
  </si>
  <si>
    <t>Agricultural Mechanic</t>
  </si>
  <si>
    <t>Agricultural Technician</t>
  </si>
  <si>
    <t>Agriculture Engineer</t>
  </si>
  <si>
    <t>Agriculture Labourer</t>
  </si>
  <si>
    <t>Air Conditioning Assistant</t>
  </si>
  <si>
    <t>Air Conditioning Mechanic</t>
  </si>
  <si>
    <t>Air Freight Clerk</t>
  </si>
  <si>
    <t>Air Traffic Controller</t>
  </si>
  <si>
    <t>Aircarft Deport Operator</t>
  </si>
  <si>
    <t>Aircraft Electrician</t>
  </si>
  <si>
    <t>Aircraft Engine Mechanic</t>
  </si>
  <si>
    <t>Aircraft Fuelling Operator</t>
  </si>
  <si>
    <t>Airframe Mechanic</t>
  </si>
  <si>
    <t>Airport Check-in Agent</t>
  </si>
  <si>
    <t>Airport Director</t>
  </si>
  <si>
    <t>All Vehicles Driver</t>
  </si>
  <si>
    <t>Aluminium Fabricator</t>
  </si>
  <si>
    <t>Anaesthetist</t>
  </si>
  <si>
    <t>Aquaculture Production Manager</t>
  </si>
  <si>
    <t>Aquaculture Rearing Technician</t>
  </si>
  <si>
    <t>Arabic Coffee Maker</t>
  </si>
  <si>
    <t>Arabic Food Cook</t>
  </si>
  <si>
    <t>Architecture Draftsperson</t>
  </si>
  <si>
    <t>Archivist</t>
  </si>
  <si>
    <t>Area Manager</t>
  </si>
  <si>
    <t>Artificial Flower Maker</t>
  </si>
  <si>
    <t>Artist / Painters</t>
  </si>
  <si>
    <t>Asphalt Roofer</t>
  </si>
  <si>
    <t>Asphalt Spreader Driver</t>
  </si>
  <si>
    <t>Assistant Midwife</t>
  </si>
  <si>
    <t>Assistant Professor</t>
  </si>
  <si>
    <t>Auditing Clerk</t>
  </si>
  <si>
    <t>Auto Body Repairer</t>
  </si>
  <si>
    <t>Auto Electrician</t>
  </si>
  <si>
    <t>Automotive Sales Representative</t>
  </si>
  <si>
    <t>Babysitter</t>
  </si>
  <si>
    <t>Baker</t>
  </si>
  <si>
    <t>Bakery Sales Assistant</t>
  </si>
  <si>
    <t>Bank Notes Counting Clerk</t>
  </si>
  <si>
    <t>Bank Officer</t>
  </si>
  <si>
    <t>Bank Teller</t>
  </si>
  <si>
    <t>Banking Operations Manager</t>
  </si>
  <si>
    <t>Bartender</t>
  </si>
  <si>
    <t>Beautician</t>
  </si>
  <si>
    <t>Beekeeper</t>
  </si>
  <si>
    <t>Beverage Maker</t>
  </si>
  <si>
    <t>Bicycle Assembler</t>
  </si>
  <si>
    <t>Bicycle Mechanic</t>
  </si>
  <si>
    <t>Biochemist</t>
  </si>
  <si>
    <t>Biologist</t>
  </si>
  <si>
    <t>Bird Breeder</t>
  </si>
  <si>
    <t>Blacksmith</t>
  </si>
  <si>
    <t>Blaster</t>
  </si>
  <si>
    <t>Boatmaster</t>
  </si>
  <si>
    <t>Boiler Operator</t>
  </si>
  <si>
    <t>Bookbinder</t>
  </si>
  <si>
    <t>Bookkeeper</t>
  </si>
  <si>
    <t>Botanist</t>
  </si>
  <si>
    <t>Brick Kiln Operator</t>
  </si>
  <si>
    <t>Bricklayer</t>
  </si>
  <si>
    <t>Bricklayer Assistant</t>
  </si>
  <si>
    <t>Broadcasting Director</t>
  </si>
  <si>
    <t>Broker</t>
  </si>
  <si>
    <t>Brokerage Clerk</t>
  </si>
  <si>
    <t>Building Caretaker</t>
  </si>
  <si>
    <t>Building Labourer</t>
  </si>
  <si>
    <t>Building Services Engineer</t>
  </si>
  <si>
    <t>Building Surveyor</t>
  </si>
  <si>
    <t>Bulldozer Driver</t>
  </si>
  <si>
    <t>Bus Supervisor</t>
  </si>
  <si>
    <t>Business Consultants</t>
  </si>
  <si>
    <t>Business Service Manager</t>
  </si>
  <si>
    <t>Business(Owner)</t>
  </si>
  <si>
    <t>Butcher</t>
  </si>
  <si>
    <t>Cable and Rope Splicing Machine Operator</t>
  </si>
  <si>
    <t>Cane Furniture Maker</t>
  </si>
  <si>
    <t>Cantilever Crane Operator</t>
  </si>
  <si>
    <t>Cardiologist</t>
  </si>
  <si>
    <t>Cargo Supervisor</t>
  </si>
  <si>
    <t>Carpentry Work Supervisor</t>
  </si>
  <si>
    <t>Carpet Layer</t>
  </si>
  <si>
    <t>Cartoonist</t>
  </si>
  <si>
    <t>Casting Machine Operator</t>
  </si>
  <si>
    <t>Catering Manager</t>
  </si>
  <si>
    <t>Ceiling Fixer</t>
  </si>
  <si>
    <t>Chairman of the Board</t>
  </si>
  <si>
    <t>Chemical Analyst</t>
  </si>
  <si>
    <t>Chemical Engineer</t>
  </si>
  <si>
    <t>Chemical Engineering Technician</t>
  </si>
  <si>
    <t>Chemical Processing Plant Controller</t>
  </si>
  <si>
    <t>Chemical Products Machine Operator</t>
  </si>
  <si>
    <t>Chemical Technician</t>
  </si>
  <si>
    <t>Chief Executive</t>
  </si>
  <si>
    <t>Chief Fire Officer</t>
  </si>
  <si>
    <t>Child Care Services Manager</t>
  </si>
  <si>
    <t>Chimney Sweeper</t>
  </si>
  <si>
    <t>Chiropractor</t>
  </si>
  <si>
    <t>Cinema Manager</t>
  </si>
  <si>
    <t>Cinematographer</t>
  </si>
  <si>
    <t>Circus Performer</t>
  </si>
  <si>
    <t>Civil Engineer</t>
  </si>
  <si>
    <t>Civil Engineer Labourer</t>
  </si>
  <si>
    <t>Civil Registrar</t>
  </si>
  <si>
    <t>Cleaners</t>
  </si>
  <si>
    <t>Cleaning Supervisor</t>
  </si>
  <si>
    <t>Clerks</t>
  </si>
  <si>
    <t>Clinic Manager</t>
  </si>
  <si>
    <t>Clown</t>
  </si>
  <si>
    <t>Club Director</t>
  </si>
  <si>
    <t>Coffee Shop Manager</t>
  </si>
  <si>
    <t>College Dean</t>
  </si>
  <si>
    <t>Commercial Sales Representative</t>
  </si>
  <si>
    <t>Commodity Broker</t>
  </si>
  <si>
    <t>Complementary Medicine Associate</t>
  </si>
  <si>
    <t>Composer</t>
  </si>
  <si>
    <t>Computer Engineer</t>
  </si>
  <si>
    <t>Computer Network Analyst</t>
  </si>
  <si>
    <t>Computer Network and Systems Technician</t>
  </si>
  <si>
    <t>Computer Programmer</t>
  </si>
  <si>
    <t>Computer Systems Manager</t>
  </si>
  <si>
    <t>Concrete Machine Operator</t>
  </si>
  <si>
    <t>Confectioner</t>
  </si>
  <si>
    <t>Conference Supervisor</t>
  </si>
  <si>
    <t>Construction Manager</t>
  </si>
  <si>
    <t>Construction Safety Officer</t>
  </si>
  <si>
    <t>Construction Supervisor</t>
  </si>
  <si>
    <t>Contracts Manager</t>
  </si>
  <si>
    <t>Coppersmith</t>
  </si>
  <si>
    <t>Corpse Washer</t>
  </si>
  <si>
    <t>Court Clerk</t>
  </si>
  <si>
    <t>Crane Operator</t>
  </si>
  <si>
    <t>Crane Operator Assistant</t>
  </si>
  <si>
    <t>Credit Analyst</t>
  </si>
  <si>
    <t>Credit Manager</t>
  </si>
  <si>
    <t>Credit Officer</t>
  </si>
  <si>
    <t>Critic</t>
  </si>
  <si>
    <t>Curtain Fitter</t>
  </si>
  <si>
    <t>Custom and Border Inspector</t>
  </si>
  <si>
    <t>Customer Service Clerk</t>
  </si>
  <si>
    <t>Customer Service Manager</t>
  </si>
  <si>
    <t>Customs Clearance Agent</t>
  </si>
  <si>
    <t>Cytologist</t>
  </si>
  <si>
    <t>Dairy Products Maker</t>
  </si>
  <si>
    <t>Dancer</t>
  </si>
  <si>
    <t>Data Entry Clerk</t>
  </si>
  <si>
    <t>Data Processing Supervisor</t>
  </si>
  <si>
    <t>Database Designer</t>
  </si>
  <si>
    <t>Debt Collector</t>
  </si>
  <si>
    <t>Deck Officer</t>
  </si>
  <si>
    <t>Deckhand</t>
  </si>
  <si>
    <t>Decorative Painter</t>
  </si>
  <si>
    <t>Decorator</t>
  </si>
  <si>
    <t>Defence Officer</t>
  </si>
  <si>
    <t>Demolition Labourer</t>
  </si>
  <si>
    <t>Dental Assistant</t>
  </si>
  <si>
    <t>Dental Surgeon</t>
  </si>
  <si>
    <t>Dental Technician</t>
  </si>
  <si>
    <t>Dentist</t>
  </si>
  <si>
    <t>Dermatologist</t>
  </si>
  <si>
    <t>Die Maker</t>
  </si>
  <si>
    <t>Dietician</t>
  </si>
  <si>
    <t>Disabled Care Specialist</t>
  </si>
  <si>
    <t>Doctors</t>
  </si>
  <si>
    <t>Domestic Helper</t>
  </si>
  <si>
    <t>Domestic Housekeeper</t>
  </si>
  <si>
    <t>Doorman</t>
  </si>
  <si>
    <t>Dredger Driver</t>
  </si>
  <si>
    <t>Dressmaker</t>
  </si>
  <si>
    <t>Drill Operator</t>
  </si>
  <si>
    <t>Drilling Supervisor</t>
  </si>
  <si>
    <t>Driving Examiner</t>
  </si>
  <si>
    <t>Driving Instructor</t>
  </si>
  <si>
    <t>Economist</t>
  </si>
  <si>
    <t>Editor in Chief</t>
  </si>
  <si>
    <t>Education Affairs Director</t>
  </si>
  <si>
    <t>Education Expert</t>
  </si>
  <si>
    <t>Education Methods Specialist</t>
  </si>
  <si>
    <t>Electrical Draftsperson</t>
  </si>
  <si>
    <t>Electrical Engineer</t>
  </si>
  <si>
    <t>Electrical Engineer Technician</t>
  </si>
  <si>
    <t>Electrical Equipment Assembler</t>
  </si>
  <si>
    <t>Electrical Mechanic</t>
  </si>
  <si>
    <t>Electrical Powerline Installer</t>
  </si>
  <si>
    <t>Electrician Assistant</t>
  </si>
  <si>
    <t>Electronic Draftsperson</t>
  </si>
  <si>
    <t>Electronic Engineer</t>
  </si>
  <si>
    <t>Electronic Equipment Assembler</t>
  </si>
  <si>
    <t>Electronics Engineering Technician</t>
  </si>
  <si>
    <t>Electronics Mechanic</t>
  </si>
  <si>
    <t>Elevator Operator</t>
  </si>
  <si>
    <t>Embroider</t>
  </si>
  <si>
    <t>Emergency Ambulance Driver</t>
  </si>
  <si>
    <t>Employment Agent</t>
  </si>
  <si>
    <t>Engineers / Architects</t>
  </si>
  <si>
    <t>Engraver</t>
  </si>
  <si>
    <t>Environment Engineer</t>
  </si>
  <si>
    <t>Environmental Protection Officer</t>
  </si>
  <si>
    <t>Event Planner</t>
  </si>
  <si>
    <t>Executive Secretary</t>
  </si>
  <si>
    <t>Exhibition Designer</t>
  </si>
  <si>
    <t>Factory Hand</t>
  </si>
  <si>
    <t>Farm Labourer</t>
  </si>
  <si>
    <t>Farm Manager</t>
  </si>
  <si>
    <t>Farmer / Agriculturists</t>
  </si>
  <si>
    <t>Fashion Designer</t>
  </si>
  <si>
    <t>Fashion Model</t>
  </si>
  <si>
    <t>Fast Food Maker</t>
  </si>
  <si>
    <t>Fibre Winding Machine Operator</t>
  </si>
  <si>
    <t>Fibreglass Machine Operator</t>
  </si>
  <si>
    <t>Field Crop and Vegetable Grower</t>
  </si>
  <si>
    <t>Filing Clerk</t>
  </si>
  <si>
    <t>Financial Accounting Affairs Director</t>
  </si>
  <si>
    <t>Financial Analyst</t>
  </si>
  <si>
    <t>Financial Auditor</t>
  </si>
  <si>
    <t>Financial Officer</t>
  </si>
  <si>
    <t>Fire Fighter</t>
  </si>
  <si>
    <t>Fire Fighter Instructor</t>
  </si>
  <si>
    <t>Fire Investigator</t>
  </si>
  <si>
    <t>Fish Cook</t>
  </si>
  <si>
    <t>Fish Filleter</t>
  </si>
  <si>
    <t>Fishmonger</t>
  </si>
  <si>
    <t>Flight Attendant</t>
  </si>
  <si>
    <t>Flight Instructor</t>
  </si>
  <si>
    <t>Florist</t>
  </si>
  <si>
    <t>Follow Up Clerk</t>
  </si>
  <si>
    <t>Follow Up Manager</t>
  </si>
  <si>
    <t>Food and Beverage Manager</t>
  </si>
  <si>
    <t>Food Processing Machine Operator</t>
  </si>
  <si>
    <t>Food Service Counter Attendant</t>
  </si>
  <si>
    <t>Food Service Supervisor</t>
  </si>
  <si>
    <t>Footwear Machine Operator</t>
  </si>
  <si>
    <t>Foreign Currency Trader</t>
  </si>
  <si>
    <t>Foreign Food Cook</t>
  </si>
  <si>
    <t>Forestry Labourer</t>
  </si>
  <si>
    <t>Forestry Technician</t>
  </si>
  <si>
    <t>Forklift Driver</t>
  </si>
  <si>
    <t>Freight Forwarder</t>
  </si>
  <si>
    <t>Freight Handler</t>
  </si>
  <si>
    <t>Fruit and Vegetable Preserver</t>
  </si>
  <si>
    <t>Fumigator</t>
  </si>
  <si>
    <t>Furniture Upholsterer</t>
  </si>
  <si>
    <t>Garbage Truck Driver</t>
  </si>
  <si>
    <t>Garden Labourer</t>
  </si>
  <si>
    <t>Garment and Pattern Cutter</t>
  </si>
  <si>
    <t>Gas Fitter</t>
  </si>
  <si>
    <t>Gas Station Attendant</t>
  </si>
  <si>
    <t>General Medical Practitioner</t>
  </si>
  <si>
    <t>Geographer</t>
  </si>
  <si>
    <t>Geologist</t>
  </si>
  <si>
    <t>Geology Technician</t>
  </si>
  <si>
    <t>Glass and Ceramic Plant Operator</t>
  </si>
  <si>
    <t>Glass Finisher</t>
  </si>
  <si>
    <t>Glass Maker</t>
  </si>
  <si>
    <t>Glazier</t>
  </si>
  <si>
    <t>Goldsmiths</t>
  </si>
  <si>
    <t>Government Licensing Official</t>
  </si>
  <si>
    <t>Government Minister</t>
  </si>
  <si>
    <t>Government Tax Official</t>
  </si>
  <si>
    <t>Graphic and Multimedia Designer</t>
  </si>
  <si>
    <t>Grave Digger</t>
  </si>
  <si>
    <t>Grocer</t>
  </si>
  <si>
    <t>Gunsmith</t>
  </si>
  <si>
    <t>Gynaecologist</t>
  </si>
  <si>
    <t>Hairdresser</t>
  </si>
  <si>
    <t>Hairstylist</t>
  </si>
  <si>
    <t>Hand Presser</t>
  </si>
  <si>
    <t>Handicraft Knitter</t>
  </si>
  <si>
    <t>Harvesting Machine Driver</t>
  </si>
  <si>
    <t>Head Chef</t>
  </si>
  <si>
    <t>Head Waiter</t>
  </si>
  <si>
    <t>Health Affairs Director</t>
  </si>
  <si>
    <t>Health and Safety Engineer</t>
  </si>
  <si>
    <t>Health Care Assistant</t>
  </si>
  <si>
    <t>Health Services Manager</t>
  </si>
  <si>
    <t>Heavy Truck Driver</t>
  </si>
  <si>
    <t>Henna Applicator</t>
  </si>
  <si>
    <t>Holly Quran Reader</t>
  </si>
  <si>
    <t>Horse Trainer</t>
  </si>
  <si>
    <t>Horticulturist</t>
  </si>
  <si>
    <t>Hospital Admissions Clerk</t>
  </si>
  <si>
    <t>Hospital Director</t>
  </si>
  <si>
    <t>Hospital Porter</t>
  </si>
  <si>
    <t>Hotel Concierge</t>
  </si>
  <si>
    <t>Hotel Manager</t>
  </si>
  <si>
    <t>Hotel Receptionist</t>
  </si>
  <si>
    <t>House Builder</t>
  </si>
  <si>
    <t>Housekeeping Supervisor</t>
  </si>
  <si>
    <t>Hunter</t>
  </si>
  <si>
    <t>Hunting Dogs Trainer</t>
  </si>
  <si>
    <t>Hunting Eagles Trainer</t>
  </si>
  <si>
    <t>ICT Operations Technician</t>
  </si>
  <si>
    <t>ICT Sales Representative</t>
  </si>
  <si>
    <t>ICT Security Specialist</t>
  </si>
  <si>
    <t>ICT Service Manager</t>
  </si>
  <si>
    <t>ICT Trainer</t>
  </si>
  <si>
    <t>ICT User Support Technician</t>
  </si>
  <si>
    <t>Industrial Electrician</t>
  </si>
  <si>
    <t>Industrial Engineer</t>
  </si>
  <si>
    <t>Industrial Maintenance Mechanic</t>
  </si>
  <si>
    <t>Industrial Maintenance Supervisor</t>
  </si>
  <si>
    <t>Industrial Relations Manager</t>
  </si>
  <si>
    <t>Information Clerk</t>
  </si>
  <si>
    <t>Instrumentalist</t>
  </si>
  <si>
    <t>Insulation Worker</t>
  </si>
  <si>
    <t>Insurance Agent</t>
  </si>
  <si>
    <t>Insurance Manager</t>
  </si>
  <si>
    <t>Interior Designer</t>
  </si>
  <si>
    <t>Internal Auditing Manager</t>
  </si>
  <si>
    <t>Interpreter</t>
  </si>
  <si>
    <t>Investment Manager</t>
  </si>
  <si>
    <t>Iron Smiths</t>
  </si>
  <si>
    <t>IT Manager</t>
  </si>
  <si>
    <t>Jeweller</t>
  </si>
  <si>
    <t>Jockey</t>
  </si>
  <si>
    <t>Joiner</t>
  </si>
  <si>
    <t>Journalist</t>
  </si>
  <si>
    <t>Judge</t>
  </si>
  <si>
    <t>Kindergarten Director</t>
  </si>
  <si>
    <t>Kitchen Helper</t>
  </si>
  <si>
    <t>Knitting Machine Operator</t>
  </si>
  <si>
    <t>Laborer</t>
  </si>
  <si>
    <t>Land Surveyor</t>
  </si>
  <si>
    <t>Launderer</t>
  </si>
  <si>
    <t>Laundry Machine Operator</t>
  </si>
  <si>
    <t>Leather Preparing Machine</t>
  </si>
  <si>
    <t>Lecturer</t>
  </si>
  <si>
    <t>Legal Advisor</t>
  </si>
  <si>
    <t>Legal Assistant</t>
  </si>
  <si>
    <t>Legal Consultants /Advisors</t>
  </si>
  <si>
    <t>Legal Director</t>
  </si>
  <si>
    <t>Legal Secretary</t>
  </si>
  <si>
    <t>Lens Maker</t>
  </si>
  <si>
    <t>Librarian</t>
  </si>
  <si>
    <t>Library Clerk</t>
  </si>
  <si>
    <t>Library Director</t>
  </si>
  <si>
    <t>Life Guard</t>
  </si>
  <si>
    <t>Life Science Technician</t>
  </si>
  <si>
    <t>Light Vehicle Driver</t>
  </si>
  <si>
    <t>Linguist</t>
  </si>
  <si>
    <t>Literary Writer</t>
  </si>
  <si>
    <t>Livestock Farm Labourer</t>
  </si>
  <si>
    <t>Livestock Farm Manager</t>
  </si>
  <si>
    <t>Locksmith</t>
  </si>
  <si>
    <t>Loom Machine Operator</t>
  </si>
  <si>
    <t>Luggage Machine Operator</t>
  </si>
  <si>
    <t>Machine Assembler</t>
  </si>
  <si>
    <t>Machine Tool Operator</t>
  </si>
  <si>
    <t>Mailing Clerk</t>
  </si>
  <si>
    <t>Make Up Artist</t>
  </si>
  <si>
    <t>Manicurist</t>
  </si>
  <si>
    <t>Manufacturing Manager</t>
  </si>
  <si>
    <t>Manufacturing Supervisor</t>
  </si>
  <si>
    <t>Marina Attendant</t>
  </si>
  <si>
    <t>Marine Engineer</t>
  </si>
  <si>
    <t>Marine Traffic Controller</t>
  </si>
  <si>
    <t>Marketing Manager</t>
  </si>
  <si>
    <t>Marketing Specialist</t>
  </si>
  <si>
    <t>Masons</t>
  </si>
  <si>
    <t>Masseur</t>
  </si>
  <si>
    <t>Material Engineer</t>
  </si>
  <si>
    <t>Mathematician</t>
  </si>
  <si>
    <t>Mechanic Assistant</t>
  </si>
  <si>
    <t>Mechanical Draftsperson</t>
  </si>
  <si>
    <t>Mechanical Engineer</t>
  </si>
  <si>
    <t>Mechanical Engineering Technician</t>
  </si>
  <si>
    <t>Media Presenter</t>
  </si>
  <si>
    <t>Medical Assistant</t>
  </si>
  <si>
    <t>Medical Imaging Technician</t>
  </si>
  <si>
    <t>Medical Laboratory Assistant</t>
  </si>
  <si>
    <t>Medical Laboratory Technician</t>
  </si>
  <si>
    <t>Medical Records Clerk</t>
  </si>
  <si>
    <t>Medical Sales Representative</t>
  </si>
  <si>
    <t>Medical Secretary</t>
  </si>
  <si>
    <t>Merchants</t>
  </si>
  <si>
    <t>Messenger</t>
  </si>
  <si>
    <t>Metal Furnace Operator</t>
  </si>
  <si>
    <t>Metal Machine Processing Operator</t>
  </si>
  <si>
    <t>Metal Plating Operator</t>
  </si>
  <si>
    <t>Meter Reader</t>
  </si>
  <si>
    <t>Midwife</t>
  </si>
  <si>
    <t>Miner</t>
  </si>
  <si>
    <t>Mining Engineer</t>
  </si>
  <si>
    <t>Mining Labourer</t>
  </si>
  <si>
    <t>Mining Technician</t>
  </si>
  <si>
    <t>Mixed Crop Grower</t>
  </si>
  <si>
    <t>Model Maker</t>
  </si>
  <si>
    <t>Money Changers</t>
  </si>
  <si>
    <t>Mosque Imam</t>
  </si>
  <si>
    <t>Motorcyclist</t>
  </si>
  <si>
    <t>Moulder and Coremaker</t>
  </si>
  <si>
    <t>Movie Producer</t>
  </si>
  <si>
    <t>Multimedia Developer</t>
  </si>
  <si>
    <t>Museum Curator</t>
  </si>
  <si>
    <t>Museum Director</t>
  </si>
  <si>
    <t>Music Instructor</t>
  </si>
  <si>
    <t>Musical Instrument Maker</t>
  </si>
  <si>
    <t>Neurologist</t>
  </si>
  <si>
    <t>Notary</t>
  </si>
  <si>
    <t>Nuclear Physicist</t>
  </si>
  <si>
    <t>Nuclear Power Engineer</t>
  </si>
  <si>
    <t>Nuclear Reactor Operator</t>
  </si>
  <si>
    <t>Nuclear Technician</t>
  </si>
  <si>
    <t>Nurse</t>
  </si>
  <si>
    <t>Nurse Assistant</t>
  </si>
  <si>
    <t>Nursemaid</t>
  </si>
  <si>
    <t>Nursery Supervisor</t>
  </si>
  <si>
    <t>Office Clerk</t>
  </si>
  <si>
    <t>Office Manager</t>
  </si>
  <si>
    <t>Oil and Gas Production Manager</t>
  </si>
  <si>
    <t>Operating Theatre Technician</t>
  </si>
  <si>
    <t>Operations Manager</t>
  </si>
  <si>
    <t>Optician</t>
  </si>
  <si>
    <t>Optometrist</t>
  </si>
  <si>
    <t>Packaging Machine Operator</t>
  </si>
  <si>
    <t>Packer</t>
  </si>
  <si>
    <t>Painter</t>
  </si>
  <si>
    <t>Painter Assistant</t>
  </si>
  <si>
    <t>Paper Products Machine Operator</t>
  </si>
  <si>
    <t>Paper Pulp Machine Operator</t>
  </si>
  <si>
    <t>Paramedical Practitioner</t>
  </si>
  <si>
    <t>Pastry Maker</t>
  </si>
  <si>
    <t>Pathologist</t>
  </si>
  <si>
    <t>Personal Companion</t>
  </si>
  <si>
    <t>Personnel Manager</t>
  </si>
  <si>
    <t>Personnel Officer</t>
  </si>
  <si>
    <t>Pesticides Controller</t>
  </si>
  <si>
    <t>Petroleum Engineer</t>
  </si>
  <si>
    <t>Pharmacist /Chemist</t>
  </si>
  <si>
    <t>Pharmacist Assistant</t>
  </si>
  <si>
    <t>Pharmacist Technician</t>
  </si>
  <si>
    <t>Pharmacologist</t>
  </si>
  <si>
    <t>Photographic Product Machine Operator</t>
  </si>
  <si>
    <t>Physics Technician</t>
  </si>
  <si>
    <t>Physiotherapist</t>
  </si>
  <si>
    <t>Pilots</t>
  </si>
  <si>
    <t>Pisciculture Specialist</t>
  </si>
  <si>
    <t>Plant Manager</t>
  </si>
  <si>
    <t>Plasterer</t>
  </si>
  <si>
    <t>Plastic Products Machine Operator</t>
  </si>
  <si>
    <t>Plastic Surgeon</t>
  </si>
  <si>
    <t>Plate Printing Maker</t>
  </si>
  <si>
    <t>Plumber Assistant</t>
  </si>
  <si>
    <t>Police Detective</t>
  </si>
  <si>
    <t>Policy and Planning Manager</t>
  </si>
  <si>
    <t>Political Advisor</t>
  </si>
  <si>
    <t>Political Scientist</t>
  </si>
  <si>
    <t>Porter</t>
  </si>
  <si>
    <t>Postal Clek</t>
  </si>
  <si>
    <t>Postman</t>
  </si>
  <si>
    <t>Potter</t>
  </si>
  <si>
    <t>Poultry Farm Manager</t>
  </si>
  <si>
    <t>Poultry Producer</t>
  </si>
  <si>
    <t>Power Production Plant Operator</t>
  </si>
  <si>
    <t>Precision Instrument Maker</t>
  </si>
  <si>
    <t>Priest</t>
  </si>
  <si>
    <t>Printer</t>
  </si>
  <si>
    <t>Printing Press Machine Operator</t>
  </si>
  <si>
    <t>Prison Guard</t>
  </si>
  <si>
    <t>Private Car Driver</t>
  </si>
  <si>
    <t>Private Coach</t>
  </si>
  <si>
    <t>Private Nurse</t>
  </si>
  <si>
    <t>Private Representative</t>
  </si>
  <si>
    <t>Private Tutor</t>
  </si>
  <si>
    <t>Procurement Specialist</t>
  </si>
  <si>
    <t>Product Quality Controller</t>
  </si>
  <si>
    <t>Production Clerk</t>
  </si>
  <si>
    <t>Production Engineer</t>
  </si>
  <si>
    <t>Production Manager</t>
  </si>
  <si>
    <t>Project Engineer</t>
  </si>
  <si>
    <t>Project Manager</t>
  </si>
  <si>
    <t>Projectionist</t>
  </si>
  <si>
    <t>Promotion Manager</t>
  </si>
  <si>
    <t>Property Appraiser</t>
  </si>
  <si>
    <t>Prosthesis Technician</t>
  </si>
  <si>
    <t>Psychoanalyst</t>
  </si>
  <si>
    <t>Psychologist</t>
  </si>
  <si>
    <t>Publication Designer</t>
  </si>
  <si>
    <t>Puppet Artist</t>
  </si>
  <si>
    <t>Purchasing Manager</t>
  </si>
  <si>
    <t>Purchasing Representative</t>
  </si>
  <si>
    <t>Purchasing Supervisor</t>
  </si>
  <si>
    <t>Quality Engineer</t>
  </si>
  <si>
    <t>Quality Service Manager</t>
  </si>
  <si>
    <t>Quantity Surveyor</t>
  </si>
  <si>
    <t>Quarry Supervisor</t>
  </si>
  <si>
    <t>Radiation Protection Technician</t>
  </si>
  <si>
    <t>Radiologist</t>
  </si>
  <si>
    <t>Railway Station Manager</t>
  </si>
  <si>
    <t>Real Estate Agent</t>
  </si>
  <si>
    <t>Real Estate Property Manager</t>
  </si>
  <si>
    <t>Refrigeration Mechanic</t>
  </si>
  <si>
    <t>Refuse Collector</t>
  </si>
  <si>
    <t>Research and Development Manager</t>
  </si>
  <si>
    <t>Research Studies Manager</t>
  </si>
  <si>
    <t>Restaurant Assistant</t>
  </si>
  <si>
    <t>Restaurant Manager</t>
  </si>
  <si>
    <t>Retail Category Manager</t>
  </si>
  <si>
    <t>Retail Operations Manager</t>
  </si>
  <si>
    <t>Retail Sales Assistant</t>
  </si>
  <si>
    <t>Retail Store Manager</t>
  </si>
  <si>
    <t>Rigger</t>
  </si>
  <si>
    <t>Road Maintenance Labourer</t>
  </si>
  <si>
    <t>Rubber Machine Operator</t>
  </si>
  <si>
    <t>Saddler</t>
  </si>
  <si>
    <t>Sales Demonstrator</t>
  </si>
  <si>
    <t>Sales Manager</t>
  </si>
  <si>
    <t>Scaffolder</t>
  </si>
  <si>
    <t>Scaffolder Supervisor</t>
  </si>
  <si>
    <t>Scholars</t>
  </si>
  <si>
    <t>School Attendance Clerk</t>
  </si>
  <si>
    <t>School Department Head</t>
  </si>
  <si>
    <t>School Deputy Principal</t>
  </si>
  <si>
    <t>School Health Nurse</t>
  </si>
  <si>
    <t>School Principal</t>
  </si>
  <si>
    <t>Scrap Merchant</t>
  </si>
  <si>
    <t>Sculptor</t>
  </si>
  <si>
    <t>Seamstress</t>
  </si>
  <si>
    <t>Senior Government Official</t>
  </si>
  <si>
    <t>Service Station Cashier</t>
  </si>
  <si>
    <t>Service Station Manager</t>
  </si>
  <si>
    <t>Servicemen</t>
  </si>
  <si>
    <t>Sewing Machine Operator</t>
  </si>
  <si>
    <t>Sheet Metal Worker</t>
  </si>
  <si>
    <t>Ship Captain</t>
  </si>
  <si>
    <t>Ship Electrician</t>
  </si>
  <si>
    <t>Ship Engineer</t>
  </si>
  <si>
    <t>Shipping Agent</t>
  </si>
  <si>
    <t>Shipping Services Clerk</t>
  </si>
  <si>
    <t>Shoe Polisher</t>
  </si>
  <si>
    <t>Shoemaker</t>
  </si>
  <si>
    <t>Shop Supervisor</t>
  </si>
  <si>
    <t>Shovel Operation Driver</t>
  </si>
  <si>
    <t>Signal Operator</t>
  </si>
  <si>
    <t>Skilled Forester</t>
  </si>
  <si>
    <t>Slaughterer</t>
  </si>
  <si>
    <t>Social Services Specialist</t>
  </si>
  <si>
    <t>Social Welfare Manager</t>
  </si>
  <si>
    <t>Social Worker</t>
  </si>
  <si>
    <t>Sociologist</t>
  </si>
  <si>
    <t>Soldiers</t>
  </si>
  <si>
    <t>Sound Technician</t>
  </si>
  <si>
    <t>Sous Chef</t>
  </si>
  <si>
    <t>Specialist Physician</t>
  </si>
  <si>
    <t>Speech Therapist</t>
  </si>
  <si>
    <t>Sports Referee</t>
  </si>
  <si>
    <t>Sports Trainer</t>
  </si>
  <si>
    <t>Spray Painter</t>
  </si>
  <si>
    <t>Stable Groom</t>
  </si>
  <si>
    <t>Staff Clerk</t>
  </si>
  <si>
    <t>Stall and Market Assistant</t>
  </si>
  <si>
    <t>Stall and Market Salesperson</t>
  </si>
  <si>
    <t>Statistical Assistant</t>
  </si>
  <si>
    <t>Statistician</t>
  </si>
  <si>
    <t>Steam Roller Driver</t>
  </si>
  <si>
    <t>Steel Fixer</t>
  </si>
  <si>
    <t>Stevedore</t>
  </si>
  <si>
    <t>Steward/Stewardess</t>
  </si>
  <si>
    <t>Stock Broker</t>
  </si>
  <si>
    <t>Stock Clerk</t>
  </si>
  <si>
    <t>Stock Filler</t>
  </si>
  <si>
    <t>Stone Carver</t>
  </si>
  <si>
    <t>Stone Polisher</t>
  </si>
  <si>
    <t>Stone Processing Plant Operator</t>
  </si>
  <si>
    <t>Storekeeper</t>
  </si>
  <si>
    <t>Stream Press Machine Operator</t>
  </si>
  <si>
    <t>Street Sweeper</t>
  </si>
  <si>
    <t>Street Vendor</t>
  </si>
  <si>
    <t>Student Affairs Supervisor</t>
  </si>
  <si>
    <t>Supermarket Supervisor</t>
  </si>
  <si>
    <t>Supply and Distribution Manager</t>
  </si>
  <si>
    <t>Supply Chain Analyst</t>
  </si>
  <si>
    <t>Supply Chain Manager</t>
  </si>
  <si>
    <t>Surgeon</t>
  </si>
  <si>
    <t>Survey and Market Research Interviewer</t>
  </si>
  <si>
    <t>Survey Engineer</t>
  </si>
  <si>
    <t>System Administrator</t>
  </si>
  <si>
    <t>Systems Analyst</t>
  </si>
  <si>
    <t>Tabacco Products Maker</t>
  </si>
  <si>
    <t>Tanner</t>
  </si>
  <si>
    <t>Tax Advisor</t>
  </si>
  <si>
    <t>Teachers</t>
  </si>
  <si>
    <t>Technical Manager</t>
  </si>
  <si>
    <t>Technicians</t>
  </si>
  <si>
    <t>Telecommunication Assistant</t>
  </si>
  <si>
    <t>Telecommunication Engineer</t>
  </si>
  <si>
    <t>Telecommunication Line Installer</t>
  </si>
  <si>
    <t>Telecommunications Engineering Technicia</t>
  </si>
  <si>
    <t>Telecommunications Equipment Repairer</t>
  </si>
  <si>
    <t>Telephone Switchboard Operator</t>
  </si>
  <si>
    <t>Television Director</t>
  </si>
  <si>
    <t>Textile Machine Operator</t>
  </si>
  <si>
    <t>Theatre Director</t>
  </si>
  <si>
    <t>Ticket Coductor</t>
  </si>
  <si>
    <t>Ticket Collector</t>
  </si>
  <si>
    <t>Tile Layer</t>
  </si>
  <si>
    <t>Tile Layer Assistant</t>
  </si>
  <si>
    <t>Tile Polisher</t>
  </si>
  <si>
    <t>Tool Sharpener</t>
  </si>
  <si>
    <t>Tourist Information Clerk</t>
  </si>
  <si>
    <t>Tourist Information Manager</t>
  </si>
  <si>
    <t>Tractor Driver</t>
  </si>
  <si>
    <t>Traffic Planner</t>
  </si>
  <si>
    <t>Train Driver</t>
  </si>
  <si>
    <t>Train Fitter</t>
  </si>
  <si>
    <t>Trainers</t>
  </si>
  <si>
    <t>Training Manager</t>
  </si>
  <si>
    <t>Transport Clerk</t>
  </si>
  <si>
    <t>Transportation Manager</t>
  </si>
  <si>
    <t>Travel Agency Manager</t>
  </si>
  <si>
    <t>Travel Agent</t>
  </si>
  <si>
    <t>Travel Services Clerk</t>
  </si>
  <si>
    <t>Travel Tickets Clerk</t>
  </si>
  <si>
    <t>Tree and Shrub Crop Grower</t>
  </si>
  <si>
    <t>Trench Digger Operator</t>
  </si>
  <si>
    <t>Turbine Mechanic</t>
  </si>
  <si>
    <t>Turbine Operation Supervisor</t>
  </si>
  <si>
    <t>Turbine Operator</t>
  </si>
  <si>
    <t>Turner</t>
  </si>
  <si>
    <t>Tyre Repairer</t>
  </si>
  <si>
    <t>Underwater Diver</t>
  </si>
  <si>
    <t>University President</t>
  </si>
  <si>
    <t>University Professor</t>
  </si>
  <si>
    <t>University Vice-President</t>
  </si>
  <si>
    <t>Upholsterer Assistant</t>
  </si>
  <si>
    <t>Urban Planner</t>
  </si>
  <si>
    <t>Vehicle Assembler</t>
  </si>
  <si>
    <t>Vehicle Maintenance Supervisor</t>
  </si>
  <si>
    <t>Vehicle Mechanic</t>
  </si>
  <si>
    <t>Vehicle Rental Agent</t>
  </si>
  <si>
    <t>Vehicle Upholsterer</t>
  </si>
  <si>
    <t>Vehicles Mechanic Assistant</t>
  </si>
  <si>
    <t>Venereologist</t>
  </si>
  <si>
    <t>Veterinarian</t>
  </si>
  <si>
    <t>Veterinary Technician</t>
  </si>
  <si>
    <t>Visitors Guide</t>
  </si>
  <si>
    <t>Wages Clerk</t>
  </si>
  <si>
    <t>Warehouse Manager</t>
  </si>
  <si>
    <t>Watchmaker</t>
  </si>
  <si>
    <t>Water Treatment Plant Operator</t>
  </si>
  <si>
    <t>Weather Forecaster</t>
  </si>
  <si>
    <t>Weaver</t>
  </si>
  <si>
    <t>Web Developer</t>
  </si>
  <si>
    <t>Web Technician</t>
  </si>
  <si>
    <t>Weighting Clerk</t>
  </si>
  <si>
    <t>Welder Assistant</t>
  </si>
  <si>
    <t>Welding Supervisor</t>
  </si>
  <si>
    <t>Wholesale Manager</t>
  </si>
  <si>
    <t>Wood Processing Plant Operator</t>
  </si>
  <si>
    <t>Wood Treater</t>
  </si>
  <si>
    <t>Wood Turner</t>
  </si>
  <si>
    <t>Writers</t>
  </si>
  <si>
    <t>Yarn Dyeing Machine Operator</t>
  </si>
  <si>
    <t>Youth Sport Director</t>
  </si>
  <si>
    <t>Zoologist</t>
  </si>
  <si>
    <t>Activities of call centers</t>
  </si>
  <si>
    <t xml:space="preserve">Alcohol and Drug Abuse Counseling </t>
  </si>
  <si>
    <t xml:space="preserve">Amusement Parks, Circuses, Carnivals and Fortune Tellers </t>
  </si>
  <si>
    <t>Bail and Bond Payment Providers</t>
  </si>
  <si>
    <t>Ballet &amp; Ballroom Institutions</t>
  </si>
  <si>
    <t>Bands, Orchestras, and Miscellaneous Entertainers</t>
  </si>
  <si>
    <t>Basic chemicals manufacturing and trade (Non-Defense related)</t>
  </si>
  <si>
    <t>Brokerage - Mortgage and Loans</t>
  </si>
  <si>
    <t>Brokerage - Others</t>
  </si>
  <si>
    <t>Casinos, Gambling, Betting and Adult Entertainment</t>
  </si>
  <si>
    <t xml:space="preserve">Cigar Stores and Stands </t>
  </si>
  <si>
    <t>Cinemas (including Motion Picture, Video Tape, Theatrical Production and Distribution)</t>
  </si>
  <si>
    <t xml:space="preserve">Dating and Escort Services </t>
  </si>
  <si>
    <t xml:space="preserve">Fertility Clinics </t>
  </si>
  <si>
    <t>Graveyards (including Crematories)</t>
  </si>
  <si>
    <t xml:space="preserve">Guitar Stores </t>
  </si>
  <si>
    <t>Health, Beauty Spa, Massage Parlors, Body Piercing and Tattoo Parlors</t>
  </si>
  <si>
    <t>Labour Unions</t>
  </si>
  <si>
    <t>Manufacturing and trading of alcoholic beverages (including Drinking Establishments)</t>
  </si>
  <si>
    <t>Manufacturing of paints, varnishes, similar coatings and printing ink mastics</t>
  </si>
  <si>
    <t xml:space="preserve">Modeling Schools </t>
  </si>
  <si>
    <t>Political Groups (including Fund raising organizations)</t>
  </si>
  <si>
    <t>Renting and leasing of intellectual property and similar (Not copyrighted)</t>
  </si>
  <si>
    <t>Sports activities and recreation activities</t>
  </si>
  <si>
    <t>Tourism and Hospitality (Travel agency, tour operator, reservation service, accommodation and related activities)</t>
  </si>
  <si>
    <t>Firearms and Ammunition (including Guns) - Shops &amp; Clubs</t>
  </si>
  <si>
    <t>Digger</t>
  </si>
  <si>
    <t>Diplomat</t>
  </si>
  <si>
    <t>Chartered Accountant</t>
  </si>
  <si>
    <t>Heavy Transportation Worker</t>
  </si>
  <si>
    <t>Public Relations Worker</t>
  </si>
  <si>
    <t>Finance Manager</t>
  </si>
  <si>
    <t>Occupational Health and  Safety Inspector</t>
  </si>
  <si>
    <t>Occupational Health and Safety Advisor</t>
  </si>
  <si>
    <t>Petroleum and Natural Gas Refining Plant Operator</t>
  </si>
  <si>
    <t>Sports Coach</t>
  </si>
  <si>
    <t>Payment Service Provider</t>
  </si>
  <si>
    <t>Financial Advisors/Consultancy</t>
  </si>
  <si>
    <t>Credit Providers (Finance Companies)</t>
  </si>
  <si>
    <t>United Kingdom and Channel Islands</t>
  </si>
  <si>
    <t>Stored Value Facilities</t>
  </si>
  <si>
    <t>Input guidelines</t>
  </si>
  <si>
    <t>Single Authorized Signatory</t>
  </si>
  <si>
    <t xml:space="preserve">Multiple Authorized Signatories </t>
  </si>
  <si>
    <t>Joint Account</t>
  </si>
  <si>
    <t>Power of Attorney</t>
  </si>
  <si>
    <t>Parent/Legal Guardian</t>
  </si>
  <si>
    <t>Override To</t>
  </si>
  <si>
    <t>Number of Investigations Carried Out in Last 1 Year</t>
  </si>
  <si>
    <t>Customer ID (CIF)</t>
  </si>
  <si>
    <t>Central Government – UAE, GCC or FATF Member State</t>
  </si>
  <si>
    <t xml:space="preserve">Rating </t>
  </si>
  <si>
    <t xml:space="preserve"> Employee</t>
  </si>
  <si>
    <t>USD 1 million to USD 5 million</t>
  </si>
  <si>
    <t>Above USD 5 million</t>
  </si>
  <si>
    <t>Up to USD 1 million</t>
  </si>
  <si>
    <t>Head of International Organization</t>
  </si>
  <si>
    <t>Firm's Score Override</t>
  </si>
  <si>
    <t>No Match</t>
  </si>
  <si>
    <t>Partial Match</t>
  </si>
  <si>
    <t>Complete Match</t>
  </si>
  <si>
    <t>Allowed</t>
  </si>
  <si>
    <t>Signatory Mandate</t>
  </si>
  <si>
    <t>Sl No.</t>
  </si>
  <si>
    <t xml:space="preserve">Products </t>
  </si>
  <si>
    <t>Overall Product  Score</t>
  </si>
  <si>
    <t>Overall Product  Risk Rate</t>
  </si>
  <si>
    <t xml:space="preserve"> Will the product enable transfer of the asset out of the country in which the investment is made?</t>
  </si>
  <si>
    <t xml:space="preserve">Can the currency be altered easily? </t>
  </si>
  <si>
    <t>Can the product be used directly or indirectly to subject to fraud and market abuse?</t>
  </si>
  <si>
    <t xml:space="preserve"> Can the transaction, once entered, be transferred or novated to another financial institution without further assessment on the origin of the funds?</t>
  </si>
  <si>
    <t>Do the product features involve with technology that can be used in enabling Financial Crime?</t>
  </si>
  <si>
    <t>Fraud / Market Abuse</t>
  </si>
  <si>
    <t>Technology</t>
  </si>
  <si>
    <t>Equities</t>
  </si>
  <si>
    <t>Bonds</t>
  </si>
  <si>
    <t>Funds</t>
  </si>
  <si>
    <t>Foreign Exchange</t>
  </si>
  <si>
    <t>Precious metals</t>
  </si>
  <si>
    <t>Structured Products</t>
  </si>
  <si>
    <t>Private placements</t>
  </si>
  <si>
    <t>Fiduciary Deposits</t>
  </si>
  <si>
    <t>Service</t>
  </si>
  <si>
    <t>Will the service be mixed with a greater or lesser number of other services?</t>
  </si>
  <si>
    <t xml:space="preserve"> Will the service enable transfer of the asset out of the country in which the investment is made?</t>
  </si>
  <si>
    <t xml:space="preserve"> Will the service enable any payment or transfer to another entity?</t>
  </si>
  <si>
    <t>Can the service be used directly or indirectly to subject to fraud and market abuse?</t>
  </si>
  <si>
    <t xml:space="preserve"> Do the service features provide anonymity for the related parties?</t>
  </si>
  <si>
    <t>Do the service features involve with technology that can be used in enabling Financial Crime?</t>
  </si>
  <si>
    <t>Do the service features obligates the firm with financial impact?</t>
  </si>
  <si>
    <t>Obligation</t>
  </si>
  <si>
    <t>Relationship Initiation Method</t>
  </si>
  <si>
    <t>Overall Service  Score</t>
  </si>
  <si>
    <t>Overall Service  Risk Rate</t>
  </si>
  <si>
    <t>Third Party Involvment</t>
  </si>
  <si>
    <t>Technology (Complex and Dependent)</t>
  </si>
  <si>
    <t xml:space="preserve">Fraud Liklihood </t>
  </si>
  <si>
    <t>Face to Face</t>
  </si>
  <si>
    <t>E Channel</t>
  </si>
  <si>
    <t>Through Third Party</t>
  </si>
  <si>
    <t>Delivery Method</t>
  </si>
  <si>
    <t>Number of investigations carried out in last Year</t>
  </si>
  <si>
    <t>Number of STR filed in last Year</t>
  </si>
  <si>
    <t>Number of STR Filed in Last 1 Year</t>
  </si>
  <si>
    <t>Override if High</t>
  </si>
  <si>
    <t>STR</t>
  </si>
  <si>
    <t>Due Diligence Required</t>
  </si>
  <si>
    <t>PEP</t>
  </si>
  <si>
    <t>Screening</t>
  </si>
  <si>
    <t>Transaction</t>
  </si>
  <si>
    <t>Prohibition Factors</t>
  </si>
  <si>
    <t>Firm's Risk Override</t>
  </si>
  <si>
    <t>Nationality</t>
  </si>
  <si>
    <t>Residency</t>
  </si>
  <si>
    <t>Prohibit</t>
  </si>
  <si>
    <t>Relationship Manager</t>
  </si>
  <si>
    <t>Product/Service Information</t>
  </si>
  <si>
    <t>Business/Employment Information</t>
  </si>
  <si>
    <t>Customer Information</t>
  </si>
  <si>
    <t>Transaction and STR risk</t>
  </si>
  <si>
    <t>Over Ride to High Risk</t>
  </si>
  <si>
    <t xml:space="preserve">Weightage Score </t>
  </si>
  <si>
    <t>Selected Score</t>
  </si>
  <si>
    <t>The purpose of this model is to dynamically calculate the customer risk rating of an Individual customer:
 - At the time of on-boarding a new customer
 - Periodic review of an existing customer
 - Trigger based event for an existing customer</t>
  </si>
  <si>
    <t xml:space="preserve">1. Ensure accurate information is entered in the model. For any information that is unavailable, it is advisable to obtain it from the customers.
2. Avoid using "Not Applicable" or "Others" until and unless necessary. 
</t>
  </si>
  <si>
    <t>Sanction Screening Match</t>
  </si>
  <si>
    <t>Screening Matches (Sanction)</t>
  </si>
  <si>
    <t>BASEL Index *</t>
  </si>
  <si>
    <t>Basel Index Covers:</t>
  </si>
  <si>
    <t>ML/TF Risk</t>
  </si>
  <si>
    <t>FATF Mutual Evaluation Reports</t>
  </si>
  <si>
    <t>Financial Secrecy Index</t>
  </si>
  <si>
    <t>US International Narcotics Control Strategy Report</t>
  </si>
  <si>
    <t>Trafficking in persons</t>
  </si>
  <si>
    <t>Environmental Crime</t>
  </si>
  <si>
    <t>Corruption Risk</t>
  </si>
  <si>
    <t>TI Corruption Perceptions Index</t>
  </si>
  <si>
    <t>TRACE Bribery Risk Matrix</t>
  </si>
  <si>
    <t>Financial Transparency &amp; Standards</t>
  </si>
  <si>
    <t>WB - Corporate Transparency Index</t>
  </si>
  <si>
    <t>WEF GCR Strength of auditing and reporting standards</t>
  </si>
  <si>
    <t>WB IDA IRAI Financial Sector Regulations</t>
  </si>
  <si>
    <t>Public Transparency &amp; Accountability</t>
  </si>
  <si>
    <t>Open Budget Index</t>
  </si>
  <si>
    <t>Political Disclosure</t>
  </si>
  <si>
    <t>Transparency, accountability and corruption in the public sector</t>
  </si>
  <si>
    <t>Political &amp; Legal Risk</t>
  </si>
  <si>
    <t>WEF GCR Institutional Strength</t>
  </si>
  <si>
    <t>WJP Rule of Law</t>
  </si>
  <si>
    <t>Freedom House Index</t>
  </si>
  <si>
    <t>WEF GCR Indepencence of judiciary</t>
  </si>
  <si>
    <t>Press Freedom Index</t>
  </si>
  <si>
    <t>Over Ride to High Risk Factors</t>
  </si>
  <si>
    <t>Long Term Insurance</t>
  </si>
  <si>
    <t>Systematic Investment Plan</t>
  </si>
  <si>
    <t>Portfolio Bonds</t>
  </si>
  <si>
    <t>Advising on Financial Products</t>
  </si>
  <si>
    <t>Arranging Custody</t>
  </si>
  <si>
    <t>Arranging Deals in Investments</t>
  </si>
  <si>
    <t>Review Periodicity</t>
  </si>
  <si>
    <t>jap2023*</t>
  </si>
  <si>
    <t>Arranging and Advising on Credit</t>
  </si>
  <si>
    <t>Type of Event</t>
  </si>
  <si>
    <t>Hold and Escalate</t>
  </si>
  <si>
    <t xml:space="preserve">Chemicals manufacturing and trade </t>
  </si>
  <si>
    <t xml:space="preserve">Chemicals manufacturing and trade (UN Member Country Government Defense related) </t>
  </si>
  <si>
    <t xml:space="preserve">Defense equipment manufacturing and distribution (including arms and weapons) </t>
  </si>
  <si>
    <t xml:space="preserve">Oil and gas extraction/trading </t>
  </si>
  <si>
    <t>Oil and gas extraction/trading - Government Entity</t>
  </si>
  <si>
    <t>Aland Islands**</t>
  </si>
  <si>
    <t>American Samoa**</t>
  </si>
  <si>
    <t>Antarctica**</t>
  </si>
  <si>
    <t>Bonaire**</t>
  </si>
  <si>
    <t>Bouvet Island**</t>
  </si>
  <si>
    <t>British Indian Ocean Territory**</t>
  </si>
  <si>
    <t>Christmas Island**</t>
  </si>
  <si>
    <t>Cocos (Keeling) Islands**</t>
  </si>
  <si>
    <t>Falkland Islands**</t>
  </si>
  <si>
    <t>Faroe Islands*</t>
  </si>
  <si>
    <t>French Guiana**</t>
  </si>
  <si>
    <t>French Polynesia**</t>
  </si>
  <si>
    <t>French Southern Territories**</t>
  </si>
  <si>
    <t>Gibraltar*</t>
  </si>
  <si>
    <t>Greenland**</t>
  </si>
  <si>
    <t>Guadeloupe**</t>
  </si>
  <si>
    <t>Guam**</t>
  </si>
  <si>
    <t>Guernsey*</t>
  </si>
  <si>
    <t>Heard McDonald**</t>
  </si>
  <si>
    <t>Isle of Man*</t>
  </si>
  <si>
    <t>Jersey*</t>
  </si>
  <si>
    <t>Maarten Dutch/ Sint Maarten*</t>
  </si>
  <si>
    <t>Martinique**</t>
  </si>
  <si>
    <t>Mayotte*</t>
  </si>
  <si>
    <t>Montserrat*</t>
  </si>
  <si>
    <t>Netherlands Antilles**</t>
  </si>
  <si>
    <t>New Caledonia**</t>
  </si>
  <si>
    <t>Niue*</t>
  </si>
  <si>
    <t>Norfolk Island**</t>
  </si>
  <si>
    <t>Northern Mariana Islands**</t>
  </si>
  <si>
    <t>Palestine and West Bank &amp; Gaza*</t>
  </si>
  <si>
    <t>Pitcairn Islands**</t>
  </si>
  <si>
    <t>Republic of Kiribati*</t>
  </si>
  <si>
    <t>Reunion**</t>
  </si>
  <si>
    <t>Saint Barthelemy**</t>
  </si>
  <si>
    <t>Saint Helena**</t>
  </si>
  <si>
    <t>Saint Martin**</t>
  </si>
  <si>
    <t>Saint Pierre and Miquelon**</t>
  </si>
  <si>
    <t>Svalbard**</t>
  </si>
  <si>
    <t>Tokelau**</t>
  </si>
  <si>
    <t>Tuvalu*</t>
  </si>
  <si>
    <t>US Minor Outlying Islands**</t>
  </si>
  <si>
    <t>US Virgin Islands**</t>
  </si>
  <si>
    <t>Vatican City (Holy See)*</t>
  </si>
  <si>
    <t>Wallis and Futuna**</t>
  </si>
  <si>
    <t>Western Sahara**</t>
  </si>
  <si>
    <t>FATF Grey List</t>
  </si>
  <si>
    <t>FATF Membership Suspended</t>
  </si>
  <si>
    <t>Product (Highest Risk)</t>
  </si>
  <si>
    <t>Services (Highest Risk)</t>
  </si>
  <si>
    <t>Product and Services Relation Initiation Method</t>
  </si>
  <si>
    <t>Product and Services Service Delivery Method</t>
  </si>
  <si>
    <t>Comment and Rationale</t>
  </si>
  <si>
    <t>Product</t>
  </si>
  <si>
    <t xml:space="preserve">Relation initiation method </t>
  </si>
  <si>
    <t xml:space="preserve">Service Delivery Method </t>
  </si>
  <si>
    <t>Take score and apply 50%</t>
  </si>
  <si>
    <t>Hold and Control Client Money</t>
  </si>
  <si>
    <t>Review Frequency (Months)</t>
  </si>
  <si>
    <t>SEO Approval</t>
  </si>
  <si>
    <t>SEO Name</t>
  </si>
  <si>
    <t>SEO Comments</t>
  </si>
  <si>
    <t>SEO Signature</t>
  </si>
  <si>
    <t>Approval Date(DD/MM/YYYY)</t>
  </si>
  <si>
    <t>MLRO Assessment</t>
  </si>
  <si>
    <t>MLRO Name</t>
  </si>
  <si>
    <t>Assessed Professional</t>
  </si>
  <si>
    <t>Deemed Professional</t>
  </si>
  <si>
    <t>Not applicable</t>
  </si>
  <si>
    <r>
      <rPr>
        <b/>
        <u/>
        <sz val="11"/>
        <color theme="1"/>
        <rFont val="Aptos"/>
        <family val="2"/>
      </rPr>
      <t>Note:</t>
    </r>
    <r>
      <rPr>
        <sz val="11"/>
        <color theme="1"/>
        <rFont val="Aptos"/>
        <family val="2"/>
      </rPr>
      <t xml:space="preserve">
* or ** (Countries/territories where FATF/FSRB membership was missing and/or BASEL rating was not provided, therefore public data sources were taken into account and 'KnowYourCountry' database, and google search was relied upon.) 
*countries/territories who are not member of  FATF or  FSRBs. 
** Countries/territories who are not rated by BASEL. (proofread this message, and correct any mistakes, do not add anything into it)
</t>
    </r>
  </si>
  <si>
    <t>Derivatives</t>
  </si>
  <si>
    <t>Adverse Media</t>
  </si>
  <si>
    <t>Description</t>
  </si>
  <si>
    <t>Source of Wealth Jurisdiction</t>
  </si>
  <si>
    <t>Source of Fund Jurisdiction</t>
  </si>
  <si>
    <t>MLRO Analysis and Assessment</t>
  </si>
  <si>
    <t>RM ID</t>
  </si>
  <si>
    <t>RM Comment</t>
  </si>
  <si>
    <t>RM Name</t>
  </si>
  <si>
    <t>Discretionary Mandates - control only</t>
  </si>
  <si>
    <t>Managing Assets (LPOA)</t>
  </si>
  <si>
    <t>Signature</t>
  </si>
  <si>
    <t>Residency Status (UAE)</t>
  </si>
  <si>
    <t>Diversified</t>
  </si>
  <si>
    <t>Diversified with High Risk Business</t>
  </si>
  <si>
    <t>Inheritence</t>
  </si>
  <si>
    <t>Sale of Assets (Property or any other assets)</t>
  </si>
  <si>
    <t>Options</t>
  </si>
  <si>
    <t>Existing</t>
  </si>
  <si>
    <t>Active</t>
  </si>
  <si>
    <t>Periodic assessment</t>
  </si>
  <si>
    <t>upto 1</t>
  </si>
  <si>
    <t>2 and above</t>
  </si>
  <si>
    <t>Mr. ____</t>
  </si>
  <si>
    <t>No Override</t>
  </si>
  <si>
    <t>FATF Last updated - 24 Feb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</si>
</sst>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_(* #,##0.00_);_(* \(#,##0.00\);_(* &quot;-&quot;??_);_(@_)"/>
    <numFmt numFmtId="165" formatCode="[$-14C09]d\ mmm\ yyyy;@"/>
    <numFmt numFmtId="166" formatCode="[$-F800]dddd\,\ mmmm\ dd\,\ yyyy"/>
  </numFmts>
  <fonts count="40" x14ac:knownFonts="1">
    <font>
      <sz val="11"/>
      <color theme="1"/>
      <name val="Calibri"/>
      <family val="2"/>
      <scheme val="minor"/>
    </font>
    <font>
      <b/>
      <sz val="11"/>
      <color theme="1"/>
      <name val="Calibri"/>
      <family val="2"/>
      <scheme val="minor"/>
    </font>
    <font>
      <sz val="11"/>
      <color theme="1"/>
      <name val="Calibri"/>
      <family val="2"/>
      <scheme val="minor"/>
    </font>
    <font>
      <b/>
      <sz val="12"/>
      <color theme="0"/>
      <name val="Calibri"/>
      <family val="2"/>
      <scheme val="minor"/>
    </font>
    <font>
      <sz val="11"/>
      <color theme="1"/>
      <name val="Calibri"/>
      <family val="2"/>
    </font>
    <font>
      <sz val="10"/>
      <color theme="1"/>
      <name val="Calibri"/>
      <family val="2"/>
      <scheme val="minor"/>
    </font>
    <font>
      <b/>
      <i/>
      <sz val="12"/>
      <color theme="1"/>
      <name val="Calibri"/>
      <family val="2"/>
      <scheme val="minor"/>
    </font>
    <font>
      <sz val="12"/>
      <color rgb="FF000000"/>
      <name val="Calibri"/>
      <family val="2"/>
      <charset val="1"/>
    </font>
    <font>
      <sz val="11"/>
      <color theme="1"/>
      <name val="Aptos Display"/>
      <family val="2"/>
    </font>
    <font>
      <b/>
      <sz val="12"/>
      <color theme="0"/>
      <name val="Aptos Display"/>
      <family val="2"/>
    </font>
    <font>
      <b/>
      <sz val="11"/>
      <color theme="1"/>
      <name val="Aptos Display"/>
      <family val="2"/>
    </font>
    <font>
      <sz val="10"/>
      <color theme="1"/>
      <name val="Aptos Display"/>
      <family val="2"/>
    </font>
    <font>
      <sz val="11"/>
      <name val="Aptos Display"/>
      <family val="2"/>
    </font>
    <font>
      <b/>
      <sz val="11"/>
      <color theme="0"/>
      <name val="Aptos Display"/>
      <family val="2"/>
    </font>
    <font>
      <b/>
      <sz val="10"/>
      <color theme="0"/>
      <name val="Aptos Display"/>
      <family val="2"/>
    </font>
    <font>
      <b/>
      <i/>
      <sz val="10"/>
      <color theme="1"/>
      <name val="Aptos Display"/>
      <family val="2"/>
    </font>
    <font>
      <b/>
      <sz val="10"/>
      <color theme="1"/>
      <name val="Aptos Display"/>
      <family val="2"/>
    </font>
    <font>
      <b/>
      <sz val="10"/>
      <name val="Aptos Display"/>
      <family val="2"/>
    </font>
    <font>
      <sz val="10"/>
      <name val="Aptos Display"/>
      <family val="2"/>
    </font>
    <font>
      <sz val="10"/>
      <color rgb="FF000000"/>
      <name val="Aptos Display"/>
      <family val="2"/>
    </font>
    <font>
      <i/>
      <sz val="10"/>
      <color theme="1"/>
      <name val="Aptos Display"/>
      <family val="2"/>
    </font>
    <font>
      <sz val="10"/>
      <color indexed="8"/>
      <name val="Aptos Display"/>
      <family val="2"/>
    </font>
    <font>
      <b/>
      <sz val="11"/>
      <color rgb="FF002060"/>
      <name val="Aptos Display"/>
      <family val="2"/>
    </font>
    <font>
      <sz val="11"/>
      <color rgb="FF002060"/>
      <name val="Aptos Display"/>
      <family val="2"/>
    </font>
    <font>
      <b/>
      <sz val="11"/>
      <color theme="1"/>
      <name val="Aptos"/>
      <family val="2"/>
    </font>
    <font>
      <sz val="11"/>
      <color theme="1"/>
      <name val="Aptos"/>
      <family val="2"/>
    </font>
    <font>
      <i/>
      <sz val="11"/>
      <color theme="1"/>
      <name val="Aptos"/>
      <family val="2"/>
    </font>
    <font>
      <b/>
      <sz val="11"/>
      <color theme="0"/>
      <name val="Aptos"/>
      <family val="2"/>
    </font>
    <font>
      <b/>
      <i/>
      <sz val="11"/>
      <color theme="1"/>
      <name val="Aptos"/>
      <family val="2"/>
    </font>
    <font>
      <b/>
      <i/>
      <sz val="12"/>
      <color theme="0"/>
      <name val="Aptos"/>
      <family val="2"/>
    </font>
    <font>
      <b/>
      <sz val="10"/>
      <color rgb="FF000000"/>
      <name val="Aptos"/>
      <family val="2"/>
    </font>
    <font>
      <sz val="10"/>
      <color rgb="FF000000"/>
      <name val="Aptos"/>
      <family val="2"/>
    </font>
    <font>
      <b/>
      <sz val="11"/>
      <color theme="8" tint="-0.499984740745262"/>
      <name val="Aptos"/>
      <family val="2"/>
    </font>
    <font>
      <sz val="10"/>
      <color theme="1"/>
      <name val="Aptos"/>
      <family val="2"/>
    </font>
    <font>
      <b/>
      <u/>
      <sz val="11"/>
      <color theme="1"/>
      <name val="Aptos"/>
      <family val="2"/>
    </font>
    <font>
      <b/>
      <sz val="10"/>
      <color rgb="FF002060"/>
      <name val="Aptos Display"/>
      <family val="2"/>
    </font>
    <font>
      <sz val="10"/>
      <color rgb="FF002060"/>
      <name val="Aptos Display"/>
      <family val="2"/>
    </font>
    <font>
      <b/>
      <i/>
      <sz val="10"/>
      <color theme="5" tint="-0.249977111117893"/>
      <name val="Aptos Display"/>
      <family val="2"/>
    </font>
    <font>
      <sz val="10"/>
      <color rgb="FFFF0000"/>
      <name val="Aptos Display"/>
      <family val="2"/>
    </font>
    <font>
      <sz val="10"/>
      <color rgb="FF00B050"/>
      <name val="Aptos Display"/>
      <family val="2"/>
    </font>
  </fonts>
  <fills count="38">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rgb="FFFFFFFF"/>
        <bgColor indexed="64"/>
      </patternFill>
    </fill>
    <fill>
      <patternFill patternType="solid">
        <fgColor theme="5" tint="0.79998168889431442"/>
        <bgColor indexed="64"/>
      </patternFill>
    </fill>
    <fill>
      <patternFill patternType="solid">
        <fgColor theme="9" tint="0.39997558519241921"/>
        <bgColor indexed="64"/>
      </patternFill>
    </fill>
    <fill>
      <patternFill patternType="solid">
        <fgColor theme="5" tint="0.59999389629810485"/>
        <bgColor indexed="64"/>
      </patternFill>
    </fill>
    <fill>
      <patternFill patternType="solid">
        <fgColor theme="5" tint="0.39997558519241921"/>
        <bgColor indexed="64"/>
      </patternFill>
    </fill>
    <fill>
      <patternFill patternType="solid">
        <fgColor theme="1" tint="0.34998626667073579"/>
        <bgColor indexed="64"/>
      </patternFill>
    </fill>
    <fill>
      <patternFill patternType="solid">
        <fgColor theme="7" tint="0.79998168889431442"/>
        <bgColor indexed="64"/>
      </patternFill>
    </fill>
    <fill>
      <patternFill patternType="solid">
        <fgColor theme="4" tint="0.59999389629810485"/>
        <bgColor indexed="64"/>
      </patternFill>
    </fill>
    <fill>
      <patternFill patternType="solid">
        <fgColor theme="0" tint="-0.34998626667073579"/>
        <bgColor indexed="64"/>
      </patternFill>
    </fill>
    <fill>
      <patternFill patternType="solid">
        <fgColor rgb="FFFFC000"/>
        <bgColor indexed="64"/>
      </patternFill>
    </fill>
    <fill>
      <patternFill patternType="solid">
        <fgColor rgb="FFF8CBAD"/>
        <bgColor rgb="FFF9D9BD"/>
      </patternFill>
    </fill>
    <fill>
      <patternFill patternType="solid">
        <fgColor rgb="FFFEF3C7"/>
        <bgColor rgb="FFFFF2CC"/>
      </patternFill>
    </fill>
    <fill>
      <patternFill patternType="solid">
        <fgColor rgb="FFE2F0D9"/>
        <bgColor rgb="FFE7E6E6"/>
      </patternFill>
    </fill>
    <fill>
      <patternFill patternType="solid">
        <fgColor rgb="FFFBE5D6"/>
        <bgColor rgb="FFFEE2E2"/>
      </patternFill>
    </fill>
    <fill>
      <patternFill patternType="solid">
        <fgColor rgb="FFFFFBEB"/>
        <bgColor rgb="FFFDF2F8"/>
      </patternFill>
    </fill>
    <fill>
      <patternFill patternType="solid">
        <fgColor rgb="FFB4C7E7"/>
        <bgColor rgb="FFD9D9D9"/>
      </patternFill>
    </fill>
    <fill>
      <patternFill patternType="solid">
        <fgColor rgb="FFDBEAFE"/>
        <bgColor rgb="FFDAE3F3"/>
      </patternFill>
    </fill>
    <fill>
      <patternFill patternType="solid">
        <fgColor rgb="FFDAE3F3"/>
        <bgColor rgb="FFDBEAFE"/>
      </patternFill>
    </fill>
    <fill>
      <patternFill patternType="solid">
        <fgColor rgb="FFEFF6FF"/>
        <bgColor rgb="FFECFDF5"/>
      </patternFill>
    </fill>
    <fill>
      <patternFill patternType="solid">
        <fgColor rgb="FFC5E0B4"/>
        <bgColor rgb="FFD9D9D9"/>
      </patternFill>
    </fill>
    <fill>
      <patternFill patternType="solid">
        <fgColor rgb="FFF9D9BD"/>
        <bgColor rgb="FFF8CBAD"/>
      </patternFill>
    </fill>
    <fill>
      <patternFill patternType="solid">
        <fgColor rgb="FFFDF0E5"/>
        <bgColor rgb="FFFDF2F8"/>
      </patternFill>
    </fill>
    <fill>
      <patternFill patternType="solid">
        <fgColor rgb="FFDBDBDB"/>
        <bgColor rgb="FFD9D9D9"/>
      </patternFill>
    </fill>
    <fill>
      <patternFill patternType="solid">
        <fgColor rgb="FFD1FAE5"/>
        <bgColor rgb="FFE2F0D9"/>
      </patternFill>
    </fill>
    <fill>
      <patternFill patternType="solid">
        <fgColor rgb="FFEDEDED"/>
        <bgColor rgb="FFE7E6E6"/>
      </patternFill>
    </fill>
    <fill>
      <patternFill patternType="solid">
        <fgColor rgb="FFECFDF5"/>
        <bgColor rgb="FFEFF6FF"/>
      </patternFill>
    </fill>
    <fill>
      <patternFill patternType="solid">
        <fgColor rgb="FFFFE699"/>
        <bgColor rgb="FFF9D9BD"/>
      </patternFill>
    </fill>
    <fill>
      <patternFill patternType="solid">
        <fgColor rgb="FFFCE7F3"/>
        <bgColor rgb="FFFEE2E2"/>
      </patternFill>
    </fill>
    <fill>
      <patternFill patternType="solid">
        <fgColor rgb="FFFDF2F8"/>
        <bgColor rgb="FFFDF0E5"/>
      </patternFill>
    </fill>
    <fill>
      <patternFill patternType="solid">
        <fgColor rgb="FFFFF2CC"/>
        <bgColor rgb="FFFEF3C7"/>
      </patternFill>
    </fill>
    <fill>
      <patternFill patternType="solid">
        <fgColor theme="6"/>
        <bgColor indexed="64"/>
      </patternFill>
    </fill>
    <fill>
      <patternFill patternType="solid">
        <fgColor rgb="FFFF0000"/>
        <bgColor indexed="64"/>
      </patternFill>
    </fill>
    <fill>
      <patternFill patternType="solid">
        <fgColor rgb="FF004F71"/>
        <bgColor indexed="64"/>
      </patternFill>
    </fill>
  </fills>
  <borders count="62">
    <border>
      <left/>
      <right/>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right/>
      <top style="medium">
        <color indexed="64"/>
      </top>
      <bottom style="medium">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002060"/>
      </left>
      <right style="thin">
        <color rgb="FF002060"/>
      </right>
      <top style="thin">
        <color rgb="FF002060"/>
      </top>
      <bottom style="thin">
        <color rgb="FF002060"/>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theme="0" tint="-0.14999847407452621"/>
      </left>
      <right/>
      <top style="thin">
        <color theme="0" tint="-0.14999847407452621"/>
      </top>
      <bottom style="thin">
        <color theme="0" tint="-0.14999847407452621"/>
      </bottom>
      <diagonal/>
    </border>
    <border>
      <left/>
      <right/>
      <top/>
      <bottom style="thin">
        <color theme="0" tint="-0.14999847407452621"/>
      </bottom>
      <diagonal/>
    </border>
    <border>
      <left/>
      <right style="thin">
        <color theme="0" tint="-0.14999847407452621"/>
      </right>
      <top style="thin">
        <color theme="0" tint="-0.14999847407452621"/>
      </top>
      <bottom style="thin">
        <color theme="0" tint="-0.14999847407452621"/>
      </bottom>
      <diagonal/>
    </border>
    <border>
      <left/>
      <right/>
      <top style="thin">
        <color rgb="FF002060"/>
      </top>
      <bottom style="thin">
        <color rgb="FF002060"/>
      </bottom>
      <diagonal/>
    </border>
    <border>
      <left style="thin">
        <color rgb="FF002060"/>
      </left>
      <right style="thin">
        <color indexed="64"/>
      </right>
      <top style="thin">
        <color rgb="FF002060"/>
      </top>
      <bottom style="thin">
        <color rgb="FF002060"/>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bottom/>
      <diagonal/>
    </border>
    <border>
      <left style="medium">
        <color indexed="64"/>
      </left>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medium">
        <color indexed="64"/>
      </top>
      <bottom style="thin">
        <color indexed="64"/>
      </bottom>
      <diagonal/>
    </border>
    <border>
      <left/>
      <right style="medium">
        <color indexed="64"/>
      </right>
      <top style="medium">
        <color indexed="64"/>
      </top>
      <bottom/>
      <diagonal/>
    </border>
    <border>
      <left style="thin">
        <color indexed="64"/>
      </left>
      <right/>
      <top style="medium">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style="thin">
        <color rgb="FF002060"/>
      </left>
      <right style="medium">
        <color indexed="64"/>
      </right>
      <top style="thin">
        <color rgb="FF002060"/>
      </top>
      <bottom style="thin">
        <color rgb="FF002060"/>
      </bottom>
      <diagonal/>
    </border>
    <border>
      <left style="thin">
        <color theme="0" tint="-0.14999847407452621"/>
      </left>
      <right style="thin">
        <color theme="0" tint="-0.14999847407452621"/>
      </right>
      <top style="thin">
        <color theme="0" tint="-0.14999847407452621"/>
      </top>
      <bottom/>
      <diagonal/>
    </border>
    <border>
      <left style="thin">
        <color theme="0" tint="-0.14999847407452621"/>
      </left>
      <right/>
      <top style="thin">
        <color theme="0" tint="-0.14999847407452621"/>
      </top>
      <bottom/>
      <diagonal/>
    </border>
    <border>
      <left/>
      <right/>
      <top style="thin">
        <color indexed="64"/>
      </top>
      <bottom/>
      <diagonal/>
    </border>
    <border>
      <left/>
      <right/>
      <top style="thin">
        <color theme="0" tint="-0.14999847407452621"/>
      </top>
      <bottom style="thin">
        <color theme="0" tint="-0.14999847407452621"/>
      </bottom>
      <diagonal/>
    </border>
    <border>
      <left/>
      <right style="thin">
        <color indexed="64"/>
      </right>
      <top style="thin">
        <color indexed="64"/>
      </top>
      <bottom style="thin">
        <color indexed="64"/>
      </bottom>
      <diagonal/>
    </border>
    <border>
      <left style="thin">
        <color theme="0" tint="-0.14999847407452621"/>
      </left>
      <right style="thin">
        <color theme="0" tint="-0.14999847407452621"/>
      </right>
      <top/>
      <bottom/>
      <diagonal/>
    </border>
    <border>
      <left style="medium">
        <color indexed="64"/>
      </left>
      <right style="thin">
        <color indexed="64"/>
      </right>
      <top/>
      <bottom style="thin">
        <color indexed="64"/>
      </bottom>
      <diagonal/>
    </border>
    <border>
      <left/>
      <right style="thin">
        <color indexed="64"/>
      </right>
      <top style="thin">
        <color rgb="FF002060"/>
      </top>
      <bottom style="thin">
        <color rgb="FF002060"/>
      </bottom>
      <diagonal/>
    </border>
    <border>
      <left/>
      <right style="thin">
        <color indexed="64"/>
      </right>
      <top style="thin">
        <color rgb="FF002060"/>
      </top>
      <bottom/>
      <diagonal/>
    </border>
    <border>
      <left style="thin">
        <color indexed="64"/>
      </left>
      <right style="medium">
        <color indexed="64"/>
      </right>
      <top style="thin">
        <color indexed="64"/>
      </top>
      <bottom style="thin">
        <color indexed="64"/>
      </bottom>
      <diagonal/>
    </border>
    <border>
      <left/>
      <right style="medium">
        <color indexed="64"/>
      </right>
      <top style="thin">
        <color rgb="FF002060"/>
      </top>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right style="medium">
        <color indexed="64"/>
      </right>
      <top style="thin">
        <color rgb="FF002060"/>
      </top>
      <bottom style="medium">
        <color indexed="64"/>
      </bottom>
      <diagonal/>
    </border>
    <border>
      <left style="medium">
        <color indexed="64"/>
      </left>
      <right style="thin">
        <color indexed="64"/>
      </right>
      <top style="thin">
        <color indexed="64"/>
      </top>
      <bottom/>
      <diagonal/>
    </border>
    <border>
      <left/>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bottom/>
      <diagonal/>
    </border>
    <border>
      <left/>
      <right style="medium">
        <color indexed="64"/>
      </right>
      <top style="thin">
        <color indexed="64"/>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medium">
        <color indexed="64"/>
      </right>
      <top/>
      <bottom style="thin">
        <color indexed="64"/>
      </bottom>
      <diagonal/>
    </border>
    <border>
      <left/>
      <right style="medium">
        <color indexed="64"/>
      </right>
      <top/>
      <bottom style="thin">
        <color indexed="64"/>
      </bottom>
      <diagonal/>
    </border>
    <border>
      <left style="thin">
        <color rgb="FF002060"/>
      </left>
      <right style="medium">
        <color indexed="64"/>
      </right>
      <top/>
      <bottom style="thin">
        <color rgb="FF002060"/>
      </bottom>
      <diagonal/>
    </border>
    <border>
      <left style="thin">
        <color rgb="FF002060"/>
      </left>
      <right/>
      <top style="thin">
        <color rgb="FF002060"/>
      </top>
      <bottom style="thin">
        <color rgb="FF002060"/>
      </bottom>
      <diagonal/>
    </border>
    <border>
      <left style="thin">
        <color rgb="FF002060"/>
      </left>
      <right style="medium">
        <color indexed="64"/>
      </right>
      <top style="thin">
        <color rgb="FF002060"/>
      </top>
      <bottom style="medium">
        <color indexed="64"/>
      </bottom>
      <diagonal/>
    </border>
  </borders>
  <cellStyleXfs count="14">
    <xf numFmtId="0" fontId="0" fillId="0" borderId="0"/>
    <xf numFmtId="9" fontId="2" fillId="0" borderId="0" applyFont="0" applyFill="0" applyBorder="0" applyAlignment="0" applyProtection="0"/>
    <xf numFmtId="0" fontId="4" fillId="0" borderId="0"/>
    <xf numFmtId="0" fontId="7" fillId="15" borderId="0" applyBorder="0" applyProtection="0"/>
    <xf numFmtId="0" fontId="7" fillId="17" borderId="0" applyBorder="0" applyProtection="0"/>
    <xf numFmtId="0" fontId="7" fillId="18" borderId="0" applyBorder="0" applyProtection="0"/>
    <xf numFmtId="0" fontId="7" fillId="20" borderId="0" applyBorder="0" applyProtection="0"/>
    <xf numFmtId="0" fontId="7" fillId="22" borderId="0" applyBorder="0" applyProtection="0"/>
    <xf numFmtId="0" fontId="7" fillId="24" borderId="0" applyBorder="0" applyProtection="0"/>
    <xf numFmtId="0" fontId="7" fillId="27" borderId="0" applyBorder="0" applyProtection="0"/>
    <xf numFmtId="0" fontId="7" fillId="29" borderId="0" applyBorder="0" applyProtection="0"/>
    <xf numFmtId="0" fontId="7" fillId="31" borderId="0" applyBorder="0" applyProtection="0"/>
    <xf numFmtId="0" fontId="7" fillId="34" borderId="0" applyBorder="0" applyProtection="0"/>
    <xf numFmtId="164" fontId="2" fillId="0" borderId="0" applyFont="0" applyFill="0" applyBorder="0" applyAlignment="0" applyProtection="0"/>
  </cellStyleXfs>
  <cellXfs count="376">
    <xf numFmtId="0" fontId="0" fillId="0" borderId="0" xfId="0"/>
    <xf numFmtId="0" fontId="5" fillId="0" borderId="1" xfId="0" applyFont="1" applyBorder="1" applyAlignment="1">
      <alignment horizontal="center"/>
    </xf>
    <xf numFmtId="0" fontId="1" fillId="4" borderId="1" xfId="0" applyFont="1" applyFill="1" applyBorder="1" applyAlignment="1">
      <alignment horizontal="center"/>
    </xf>
    <xf numFmtId="17" fontId="5" fillId="0" borderId="1" xfId="0" applyNumberFormat="1" applyFont="1" applyBorder="1"/>
    <xf numFmtId="0" fontId="6" fillId="4" borderId="1" xfId="0" applyFont="1" applyFill="1" applyBorder="1" applyAlignment="1">
      <alignment horizontal="center" vertical="center"/>
    </xf>
    <xf numFmtId="0" fontId="5" fillId="6" borderId="1" xfId="0" applyFont="1" applyFill="1" applyBorder="1" applyAlignment="1">
      <alignment horizontal="center" vertical="center"/>
    </xf>
    <xf numFmtId="16" fontId="5" fillId="0" borderId="1" xfId="0" applyNumberFormat="1" applyFont="1" applyBorder="1" applyAlignment="1">
      <alignment horizontal="center"/>
    </xf>
    <xf numFmtId="0" fontId="0" fillId="6" borderId="1" xfId="0" applyFill="1" applyBorder="1"/>
    <xf numFmtId="0" fontId="5" fillId="2" borderId="1" xfId="0" applyFont="1" applyFill="1" applyBorder="1" applyAlignment="1">
      <alignment horizontal="center" vertical="center"/>
    </xf>
    <xf numFmtId="0" fontId="8" fillId="0" borderId="0" xfId="0" applyFont="1"/>
    <xf numFmtId="0" fontId="11" fillId="0" borderId="0" xfId="0" applyFont="1"/>
    <xf numFmtId="0" fontId="11" fillId="0" borderId="0" xfId="0" applyFont="1" applyAlignment="1">
      <alignment horizontal="center"/>
    </xf>
    <xf numFmtId="0" fontId="11" fillId="0" borderId="1" xfId="0" applyFont="1" applyBorder="1" applyAlignment="1">
      <alignment horizontal="center"/>
    </xf>
    <xf numFmtId="0" fontId="8" fillId="0" borderId="1" xfId="0" applyFont="1" applyBorder="1"/>
    <xf numFmtId="0" fontId="11" fillId="0" borderId="1" xfId="0" applyFont="1" applyBorder="1"/>
    <xf numFmtId="0" fontId="16" fillId="8" borderId="1" xfId="0" applyFont="1" applyFill="1" applyBorder="1" applyAlignment="1">
      <alignment horizontal="center" vertical="center"/>
    </xf>
    <xf numFmtId="0" fontId="11" fillId="0" borderId="1" xfId="0" applyFont="1" applyBorder="1" applyAlignment="1">
      <alignment vertical="center"/>
    </xf>
    <xf numFmtId="0" fontId="11" fillId="0" borderId="1" xfId="0" applyFont="1" applyBorder="1" applyAlignment="1">
      <alignment horizontal="left" vertical="center" indent="1"/>
    </xf>
    <xf numFmtId="2" fontId="11" fillId="0" borderId="1" xfId="0" applyNumberFormat="1" applyFont="1" applyBorder="1" applyAlignment="1">
      <alignment horizontal="left" vertical="center" wrapText="1"/>
    </xf>
    <xf numFmtId="0" fontId="11" fillId="0" borderId="1" xfId="0" applyFont="1" applyBorder="1" applyAlignment="1">
      <alignment horizontal="center" vertical="center"/>
    </xf>
    <xf numFmtId="0" fontId="16" fillId="0" borderId="0" xfId="0" applyFont="1" applyProtection="1">
      <protection locked="0"/>
    </xf>
    <xf numFmtId="0" fontId="14" fillId="37" borderId="1" xfId="0" applyFont="1" applyFill="1" applyBorder="1" applyAlignment="1" applyProtection="1">
      <alignment horizontal="center"/>
      <protection locked="0"/>
    </xf>
    <xf numFmtId="0" fontId="11" fillId="3" borderId="1" xfId="0" applyFont="1" applyFill="1" applyBorder="1" applyProtection="1">
      <protection locked="0"/>
    </xf>
    <xf numFmtId="2" fontId="17" fillId="0" borderId="1" xfId="0" applyNumberFormat="1" applyFont="1" applyBorder="1" applyAlignment="1" applyProtection="1">
      <alignment horizontal="center" vertical="center"/>
      <protection locked="0"/>
    </xf>
    <xf numFmtId="2" fontId="16" fillId="0" borderId="1" xfId="0" applyNumberFormat="1" applyFont="1" applyBorder="1" applyAlignment="1" applyProtection="1">
      <alignment horizontal="center" vertical="center"/>
      <protection locked="0"/>
    </xf>
    <xf numFmtId="0" fontId="18" fillId="0" borderId="0" xfId="0" applyFont="1"/>
    <xf numFmtId="0" fontId="14" fillId="0" borderId="0" xfId="0" applyFont="1" applyAlignment="1" applyProtection="1">
      <alignment horizontal="center"/>
      <protection locked="0"/>
    </xf>
    <xf numFmtId="2" fontId="17" fillId="0" borderId="0" xfId="0" applyNumberFormat="1" applyFont="1" applyAlignment="1" applyProtection="1">
      <alignment horizontal="center" vertical="center"/>
      <protection locked="0"/>
    </xf>
    <xf numFmtId="0" fontId="11" fillId="3" borderId="0" xfId="0" applyFont="1" applyFill="1" applyProtection="1">
      <protection locked="0"/>
    </xf>
    <xf numFmtId="2" fontId="16" fillId="0" borderId="0" xfId="0" applyNumberFormat="1" applyFont="1" applyAlignment="1" applyProtection="1">
      <alignment horizontal="center" vertical="center"/>
      <protection locked="0"/>
    </xf>
    <xf numFmtId="0" fontId="14" fillId="37" borderId="1" xfId="0" applyFont="1" applyFill="1" applyBorder="1" applyAlignment="1">
      <alignment horizontal="left" vertical="center" wrapText="1"/>
    </xf>
    <xf numFmtId="0" fontId="8" fillId="6" borderId="1" xfId="0" applyFont="1" applyFill="1" applyBorder="1"/>
    <xf numFmtId="3" fontId="11" fillId="0" borderId="0" xfId="0" applyNumberFormat="1" applyFont="1" applyAlignment="1">
      <alignment horizontal="center"/>
    </xf>
    <xf numFmtId="3" fontId="11" fillId="0" borderId="0" xfId="0" applyNumberFormat="1" applyFont="1"/>
    <xf numFmtId="0" fontId="11" fillId="0" borderId="0" xfId="0" applyFont="1" applyAlignment="1">
      <alignment wrapText="1"/>
    </xf>
    <xf numFmtId="4" fontId="11" fillId="0" borderId="0" xfId="0" applyNumberFormat="1" applyFont="1" applyAlignment="1">
      <alignment horizontal="center"/>
    </xf>
    <xf numFmtId="0" fontId="11" fillId="0" borderId="0" xfId="0" applyFont="1" applyProtection="1">
      <protection locked="0"/>
    </xf>
    <xf numFmtId="0" fontId="16" fillId="4" borderId="10" xfId="0" applyFont="1" applyFill="1" applyBorder="1" applyAlignment="1" applyProtection="1">
      <alignment horizontal="center"/>
      <protection locked="0"/>
    </xf>
    <xf numFmtId="0" fontId="11" fillId="3" borderId="10" xfId="0" applyFont="1" applyFill="1" applyBorder="1" applyProtection="1">
      <protection locked="0"/>
    </xf>
    <xf numFmtId="2" fontId="16" fillId="6" borderId="10" xfId="0" applyNumberFormat="1" applyFont="1" applyFill="1" applyBorder="1" applyAlignment="1" applyProtection="1">
      <alignment horizontal="center" vertical="center"/>
      <protection locked="0"/>
    </xf>
    <xf numFmtId="0" fontId="20" fillId="0" borderId="12" xfId="0" applyFont="1" applyBorder="1"/>
    <xf numFmtId="0" fontId="16" fillId="4" borderId="10" xfId="0" applyFont="1" applyFill="1" applyBorder="1" applyAlignment="1">
      <alignment horizontal="center" vertical="center" wrapText="1"/>
    </xf>
    <xf numFmtId="0" fontId="15" fillId="3" borderId="10" xfId="0" applyFont="1" applyFill="1" applyBorder="1" applyAlignment="1">
      <alignment horizontal="center" vertical="center"/>
    </xf>
    <xf numFmtId="0" fontId="15" fillId="3" borderId="35" xfId="0" applyFont="1" applyFill="1" applyBorder="1" applyAlignment="1">
      <alignment horizontal="center" vertical="center"/>
    </xf>
    <xf numFmtId="0" fontId="11" fillId="0" borderId="1" xfId="0" applyFont="1" applyBorder="1" applyAlignment="1">
      <alignment horizontal="left" vertical="center" wrapText="1"/>
    </xf>
    <xf numFmtId="3" fontId="11" fillId="6" borderId="1" xfId="0" applyNumberFormat="1" applyFont="1" applyFill="1" applyBorder="1" applyAlignment="1">
      <alignment horizontal="center" vertical="center" wrapText="1"/>
    </xf>
    <xf numFmtId="49" fontId="21" fillId="0" borderId="1" xfId="0" applyNumberFormat="1" applyFont="1" applyBorder="1"/>
    <xf numFmtId="0" fontId="11" fillId="2" borderId="1" xfId="0" applyFont="1" applyFill="1" applyBorder="1" applyAlignment="1">
      <alignment horizontal="center"/>
    </xf>
    <xf numFmtId="0" fontId="11" fillId="6" borderId="1" xfId="0" applyFont="1" applyFill="1" applyBorder="1" applyAlignment="1">
      <alignment horizontal="center"/>
    </xf>
    <xf numFmtId="0" fontId="11" fillId="6" borderId="1" xfId="0" applyFont="1" applyFill="1" applyBorder="1"/>
    <xf numFmtId="0" fontId="14" fillId="0" borderId="0" xfId="0" applyFont="1" applyAlignment="1">
      <alignment vertical="center" wrapText="1"/>
    </xf>
    <xf numFmtId="9" fontId="11" fillId="0" borderId="0" xfId="1" applyFont="1" applyFill="1" applyBorder="1" applyAlignment="1">
      <alignment horizontal="center"/>
    </xf>
    <xf numFmtId="0" fontId="11" fillId="0" borderId="0" xfId="0" applyFont="1" applyAlignment="1">
      <alignment horizontal="left"/>
    </xf>
    <xf numFmtId="9" fontId="11" fillId="0" borderId="0" xfId="0" applyNumberFormat="1" applyFont="1" applyAlignment="1">
      <alignment horizontal="center" vertical="center"/>
    </xf>
    <xf numFmtId="0" fontId="18" fillId="0" borderId="1" xfId="0" applyFont="1" applyBorder="1" applyAlignment="1">
      <alignment vertical="center"/>
    </xf>
    <xf numFmtId="0" fontId="11" fillId="2" borderId="1" xfId="0" applyFont="1" applyFill="1" applyBorder="1" applyAlignment="1">
      <alignment horizontal="center" vertical="center"/>
    </xf>
    <xf numFmtId="0" fontId="18" fillId="0" borderId="1" xfId="0" applyFont="1" applyBorder="1"/>
    <xf numFmtId="0" fontId="11" fillId="6" borderId="1" xfId="0" applyFont="1" applyFill="1" applyBorder="1" applyAlignment="1">
      <alignment horizontal="center" vertical="center"/>
    </xf>
    <xf numFmtId="0" fontId="11" fillId="0" borderId="1" xfId="0" applyFont="1" applyBorder="1" applyAlignment="1">
      <alignment horizontal="left" vertical="center"/>
    </xf>
    <xf numFmtId="0" fontId="11" fillId="0" borderId="1" xfId="0" applyFont="1" applyBorder="1" applyAlignment="1">
      <alignment horizontal="left"/>
    </xf>
    <xf numFmtId="3" fontId="18" fillId="6" borderId="1" xfId="0" applyNumberFormat="1" applyFont="1" applyFill="1" applyBorder="1" applyAlignment="1">
      <alignment horizontal="center" vertical="center"/>
    </xf>
    <xf numFmtId="3" fontId="11" fillId="6" borderId="1" xfId="0" applyNumberFormat="1" applyFont="1" applyFill="1" applyBorder="1" applyAlignment="1">
      <alignment horizontal="center"/>
    </xf>
    <xf numFmtId="0" fontId="14" fillId="0" borderId="0" xfId="0" applyFont="1" applyAlignment="1">
      <alignment wrapText="1"/>
    </xf>
    <xf numFmtId="9" fontId="14" fillId="0" borderId="0" xfId="1" applyFont="1" applyFill="1" applyBorder="1" applyAlignment="1">
      <alignment horizontal="center"/>
    </xf>
    <xf numFmtId="0" fontId="14" fillId="0" borderId="0" xfId="0" applyFont="1" applyAlignment="1">
      <alignment vertical="center"/>
    </xf>
    <xf numFmtId="3" fontId="18" fillId="6" borderId="1" xfId="0" applyNumberFormat="1" applyFont="1" applyFill="1" applyBorder="1" applyAlignment="1">
      <alignment horizontal="center"/>
    </xf>
    <xf numFmtId="0" fontId="14" fillId="0" borderId="0" xfId="0" applyFont="1" applyAlignment="1">
      <alignment horizontal="left" vertical="center" wrapText="1"/>
    </xf>
    <xf numFmtId="0" fontId="18" fillId="0" borderId="1" xfId="0" applyFont="1" applyBorder="1" applyAlignment="1">
      <alignment horizontal="left" vertical="center"/>
    </xf>
    <xf numFmtId="0" fontId="18" fillId="0" borderId="1" xfId="0" applyFont="1" applyBorder="1" applyAlignment="1">
      <alignment horizontal="left" vertical="top"/>
    </xf>
    <xf numFmtId="0" fontId="11" fillId="2" borderId="1" xfId="0" applyFont="1" applyFill="1" applyBorder="1"/>
    <xf numFmtId="0" fontId="11" fillId="0" borderId="0" xfId="0" applyFont="1" applyAlignment="1">
      <alignment vertical="top" wrapText="1"/>
    </xf>
    <xf numFmtId="49" fontId="21" fillId="0" borderId="1" xfId="0" applyNumberFormat="1" applyFont="1" applyBorder="1" applyAlignment="1">
      <alignment vertical="center"/>
    </xf>
    <xf numFmtId="0" fontId="18" fillId="0" borderId="1" xfId="0" applyFont="1" applyBorder="1" applyAlignment="1">
      <alignment wrapText="1"/>
    </xf>
    <xf numFmtId="0" fontId="19" fillId="0" borderId="1" xfId="0" applyFont="1" applyBorder="1" applyAlignment="1">
      <alignment vertical="center"/>
    </xf>
    <xf numFmtId="0" fontId="14" fillId="37" borderId="1" xfId="0" applyFont="1" applyFill="1" applyBorder="1" applyAlignment="1">
      <alignment vertical="center" wrapText="1"/>
    </xf>
    <xf numFmtId="9" fontId="14" fillId="37" borderId="1" xfId="1" applyFont="1" applyFill="1" applyBorder="1" applyAlignment="1">
      <alignment horizontal="center"/>
    </xf>
    <xf numFmtId="0" fontId="14" fillId="37" borderId="1" xfId="0" applyFont="1" applyFill="1" applyBorder="1" applyAlignment="1">
      <alignment vertical="center"/>
    </xf>
    <xf numFmtId="0" fontId="14" fillId="37" borderId="1" xfId="0" applyFont="1" applyFill="1" applyBorder="1" applyAlignment="1">
      <alignment horizontal="left"/>
    </xf>
    <xf numFmtId="9" fontId="14" fillId="37" borderId="1" xfId="1" applyFont="1" applyFill="1" applyBorder="1" applyAlignment="1">
      <alignment horizontal="center" vertical="center"/>
    </xf>
    <xf numFmtId="0" fontId="14" fillId="37" borderId="1" xfId="0" applyFont="1" applyFill="1" applyBorder="1" applyAlignment="1">
      <alignment horizontal="left" wrapText="1"/>
    </xf>
    <xf numFmtId="9" fontId="11" fillId="0" borderId="0" xfId="1" applyFont="1" applyFill="1" applyBorder="1" applyAlignment="1">
      <alignment horizontal="center" vertical="center"/>
    </xf>
    <xf numFmtId="0" fontId="11" fillId="0" borderId="0" xfId="0" applyFont="1" applyAlignment="1">
      <alignment vertical="center"/>
    </xf>
    <xf numFmtId="9" fontId="14" fillId="0" borderId="0" xfId="1" applyFont="1" applyFill="1" applyBorder="1" applyAlignment="1">
      <alignment horizontal="center" vertical="center"/>
    </xf>
    <xf numFmtId="0" fontId="11" fillId="0" borderId="0" xfId="0" applyFont="1" applyAlignment="1">
      <alignment horizontal="left" vertical="center"/>
    </xf>
    <xf numFmtId="0" fontId="9" fillId="37" borderId="16" xfId="0" applyFont="1" applyFill="1" applyBorder="1" applyAlignment="1">
      <alignment horizontal="center"/>
    </xf>
    <xf numFmtId="0" fontId="9" fillId="10" borderId="17" xfId="0" applyFont="1" applyFill="1" applyBorder="1" applyAlignment="1">
      <alignment horizontal="center"/>
    </xf>
    <xf numFmtId="0" fontId="9" fillId="10" borderId="23" xfId="0" applyFont="1" applyFill="1" applyBorder="1" applyAlignment="1">
      <alignment horizontal="center" vertical="center"/>
    </xf>
    <xf numFmtId="0" fontId="9" fillId="10" borderId="17" xfId="0" applyFont="1" applyFill="1" applyBorder="1"/>
    <xf numFmtId="0" fontId="9" fillId="10" borderId="25" xfId="0" applyFont="1" applyFill="1" applyBorder="1" applyAlignment="1">
      <alignment horizontal="center"/>
    </xf>
    <xf numFmtId="0" fontId="9" fillId="10" borderId="24" xfId="0" applyFont="1" applyFill="1" applyBorder="1" applyAlignment="1">
      <alignment horizontal="center"/>
    </xf>
    <xf numFmtId="0" fontId="22" fillId="0" borderId="0" xfId="0" applyFont="1" applyAlignment="1">
      <alignment horizontal="center"/>
    </xf>
    <xf numFmtId="0" fontId="22" fillId="11" borderId="1" xfId="0" applyFont="1" applyFill="1" applyBorder="1" applyAlignment="1">
      <alignment horizontal="left" vertical="center"/>
    </xf>
    <xf numFmtId="0" fontId="22" fillId="11" borderId="1" xfId="0" applyFont="1" applyFill="1" applyBorder="1" applyAlignment="1">
      <alignment horizontal="center" vertical="center"/>
    </xf>
    <xf numFmtId="0" fontId="23" fillId="0" borderId="0" xfId="0" applyFont="1"/>
    <xf numFmtId="0" fontId="22" fillId="11" borderId="1" xfId="0" applyFont="1" applyFill="1" applyBorder="1" applyAlignment="1">
      <alignment horizontal="left" vertical="center" wrapText="1"/>
    </xf>
    <xf numFmtId="0" fontId="22" fillId="6" borderId="36" xfId="0" applyFont="1" applyFill="1" applyBorder="1" applyAlignment="1">
      <alignment horizontal="left" vertical="center"/>
    </xf>
    <xf numFmtId="4" fontId="22" fillId="6" borderId="8" xfId="0" applyNumberFormat="1" applyFont="1" applyFill="1" applyBorder="1" applyAlignment="1">
      <alignment horizontal="center" vertical="center"/>
    </xf>
    <xf numFmtId="0" fontId="22" fillId="6" borderId="18" xfId="0" applyFont="1" applyFill="1" applyBorder="1" applyAlignment="1">
      <alignment horizontal="left" vertical="center"/>
    </xf>
    <xf numFmtId="4" fontId="22" fillId="6" borderId="1" xfId="0" applyNumberFormat="1" applyFont="1" applyFill="1" applyBorder="1" applyAlignment="1">
      <alignment horizontal="center" vertical="center"/>
    </xf>
    <xf numFmtId="0" fontId="22" fillId="6" borderId="1" xfId="0" applyFont="1" applyFill="1" applyBorder="1" applyAlignment="1">
      <alignment horizontal="center" vertical="center"/>
    </xf>
    <xf numFmtId="0" fontId="22" fillId="12" borderId="18" xfId="0" applyFont="1" applyFill="1" applyBorder="1" applyAlignment="1">
      <alignment horizontal="left" vertical="center"/>
    </xf>
    <xf numFmtId="4" fontId="22" fillId="12" borderId="1" xfId="0" applyNumberFormat="1" applyFont="1" applyFill="1" applyBorder="1" applyAlignment="1">
      <alignment horizontal="center" vertical="center"/>
    </xf>
    <xf numFmtId="0" fontId="22" fillId="12" borderId="1" xfId="0" applyFont="1" applyFill="1" applyBorder="1" applyAlignment="1">
      <alignment horizontal="center" vertical="center"/>
    </xf>
    <xf numFmtId="0" fontId="22" fillId="13" borderId="18" xfId="0" applyFont="1" applyFill="1" applyBorder="1" applyAlignment="1">
      <alignment horizontal="left" vertical="center"/>
    </xf>
    <xf numFmtId="0" fontId="22" fillId="13" borderId="1" xfId="0" applyFont="1" applyFill="1" applyBorder="1" applyAlignment="1">
      <alignment horizontal="center" vertical="center"/>
    </xf>
    <xf numFmtId="0" fontId="22" fillId="13" borderId="6" xfId="0" applyFont="1" applyFill="1" applyBorder="1" applyAlignment="1">
      <alignment horizontal="center" vertical="center" wrapText="1"/>
    </xf>
    <xf numFmtId="0" fontId="22" fillId="7" borderId="1" xfId="0" applyFont="1" applyFill="1" applyBorder="1" applyAlignment="1">
      <alignment horizontal="center" vertical="center"/>
    </xf>
    <xf numFmtId="4" fontId="22" fillId="7" borderId="1" xfId="0" applyNumberFormat="1" applyFont="1" applyFill="1" applyBorder="1"/>
    <xf numFmtId="0" fontId="10" fillId="0" borderId="20" xfId="0" applyFont="1" applyBorder="1"/>
    <xf numFmtId="0" fontId="10" fillId="0" borderId="0" xfId="0" applyFont="1"/>
    <xf numFmtId="0" fontId="10" fillId="0" borderId="0" xfId="0" applyFont="1" applyAlignment="1">
      <alignment horizontal="center" vertical="center"/>
    </xf>
    <xf numFmtId="4" fontId="22" fillId="3" borderId="0" xfId="0" applyNumberFormat="1" applyFont="1" applyFill="1"/>
    <xf numFmtId="0" fontId="22" fillId="3" borderId="0" xfId="0" applyFont="1" applyFill="1"/>
    <xf numFmtId="0" fontId="9" fillId="37" borderId="1" xfId="0" applyFont="1" applyFill="1" applyBorder="1" applyAlignment="1">
      <alignment horizontal="center"/>
    </xf>
    <xf numFmtId="0" fontId="9" fillId="37" borderId="1" xfId="0" applyFont="1" applyFill="1" applyBorder="1" applyAlignment="1">
      <alignment horizontal="center" vertical="center"/>
    </xf>
    <xf numFmtId="0" fontId="8" fillId="0" borderId="0" xfId="0" applyFont="1" applyAlignment="1">
      <alignment horizontal="center" vertical="center"/>
    </xf>
    <xf numFmtId="0" fontId="8" fillId="14" borderId="1" xfId="0" applyFont="1" applyFill="1" applyBorder="1"/>
    <xf numFmtId="0" fontId="23" fillId="5" borderId="0" xfId="0" applyFont="1" applyFill="1"/>
    <xf numFmtId="4" fontId="22" fillId="3" borderId="8" xfId="0" applyNumberFormat="1" applyFont="1" applyFill="1" applyBorder="1"/>
    <xf numFmtId="0" fontId="22" fillId="3" borderId="8" xfId="0" applyFont="1" applyFill="1" applyBorder="1"/>
    <xf numFmtId="0" fontId="8" fillId="0" borderId="8" xfId="0" applyFont="1" applyBorder="1"/>
    <xf numFmtId="0" fontId="22" fillId="7" borderId="1" xfId="0" applyFont="1" applyFill="1" applyBorder="1" applyAlignment="1">
      <alignment horizontal="left" vertical="center"/>
    </xf>
    <xf numFmtId="9" fontId="14" fillId="37" borderId="5" xfId="1" applyFont="1" applyFill="1" applyBorder="1" applyAlignment="1">
      <alignment horizontal="center" vertical="center"/>
    </xf>
    <xf numFmtId="0" fontId="19" fillId="0" borderId="1" xfId="0" applyFont="1" applyBorder="1" applyAlignment="1">
      <alignment horizontal="left"/>
    </xf>
    <xf numFmtId="0" fontId="24" fillId="0" borderId="0" xfId="0" applyFont="1" applyProtection="1">
      <protection locked="0"/>
    </xf>
    <xf numFmtId="0" fontId="25" fillId="0" borderId="0" xfId="0" applyFont="1" applyProtection="1">
      <protection locked="0"/>
    </xf>
    <xf numFmtId="0" fontId="25" fillId="0" borderId="0" xfId="0" applyFont="1" applyAlignment="1">
      <alignment horizontal="center"/>
    </xf>
    <xf numFmtId="0" fontId="26" fillId="0" borderId="0" xfId="0" applyFont="1" applyProtection="1">
      <protection locked="0"/>
    </xf>
    <xf numFmtId="0" fontId="24" fillId="4" borderId="10" xfId="0" applyFont="1" applyFill="1" applyBorder="1" applyAlignment="1" applyProtection="1">
      <alignment horizontal="center"/>
      <protection locked="0"/>
    </xf>
    <xf numFmtId="0" fontId="25" fillId="3" borderId="10" xfId="0" applyFont="1" applyFill="1" applyBorder="1" applyProtection="1">
      <protection locked="0"/>
    </xf>
    <xf numFmtId="2" fontId="24" fillId="0" borderId="1" xfId="0" applyNumberFormat="1" applyFont="1" applyBorder="1" applyAlignment="1" applyProtection="1">
      <alignment horizontal="center" vertical="center"/>
      <protection locked="0"/>
    </xf>
    <xf numFmtId="0" fontId="27" fillId="37" borderId="0" xfId="0" applyFont="1" applyFill="1" applyAlignment="1" applyProtection="1">
      <alignment horizontal="center" vertical="center" wrapText="1"/>
      <protection locked="0"/>
    </xf>
    <xf numFmtId="0" fontId="25" fillId="0" borderId="0" xfId="0" applyFont="1"/>
    <xf numFmtId="0" fontId="30" fillId="16" borderId="1" xfId="3" applyFont="1" applyFill="1" applyBorder="1" applyAlignment="1" applyProtection="1">
      <alignment horizontal="left"/>
    </xf>
    <xf numFmtId="10" fontId="30" fillId="16" borderId="1" xfId="4" applyNumberFormat="1" applyFont="1" applyFill="1" applyBorder="1" applyAlignment="1" applyProtection="1">
      <alignment horizontal="center"/>
    </xf>
    <xf numFmtId="0" fontId="31" fillId="19" borderId="1" xfId="5" applyFont="1" applyFill="1" applyBorder="1" applyAlignment="1" applyProtection="1">
      <alignment horizontal="left"/>
    </xf>
    <xf numFmtId="10" fontId="31" fillId="19" borderId="1" xfId="0" applyNumberFormat="1" applyFont="1" applyFill="1" applyBorder="1" applyAlignment="1">
      <alignment horizontal="center"/>
    </xf>
    <xf numFmtId="0" fontId="25" fillId="0" borderId="1" xfId="0" applyFont="1" applyBorder="1"/>
    <xf numFmtId="0" fontId="25" fillId="2" borderId="1" xfId="0" applyFont="1" applyFill="1" applyBorder="1" applyAlignment="1">
      <alignment horizontal="center" vertical="center"/>
    </xf>
    <xf numFmtId="2" fontId="25" fillId="2" borderId="1" xfId="0" applyNumberFormat="1" applyFont="1" applyFill="1" applyBorder="1" applyAlignment="1">
      <alignment horizontal="center" vertical="center"/>
    </xf>
    <xf numFmtId="0" fontId="24" fillId="2" borderId="1" xfId="0" applyFont="1" applyFill="1" applyBorder="1" applyAlignment="1">
      <alignment horizontal="center" vertical="center"/>
    </xf>
    <xf numFmtId="0" fontId="24" fillId="6" borderId="5" xfId="0" applyFont="1" applyFill="1" applyBorder="1" applyAlignment="1">
      <alignment horizontal="center" vertical="center"/>
    </xf>
    <xf numFmtId="0" fontId="32" fillId="2" borderId="1" xfId="0" applyFont="1" applyFill="1" applyBorder="1" applyAlignment="1">
      <alignment horizontal="center" vertical="center"/>
    </xf>
    <xf numFmtId="0" fontId="30" fillId="21" borderId="1" xfId="6" applyFont="1" applyFill="1" applyBorder="1" applyAlignment="1" applyProtection="1">
      <alignment horizontal="left"/>
    </xf>
    <xf numFmtId="10" fontId="30" fillId="21" borderId="1" xfId="7" applyNumberFormat="1" applyFont="1" applyFill="1" applyBorder="1" applyAlignment="1" applyProtection="1">
      <alignment horizontal="center"/>
    </xf>
    <xf numFmtId="0" fontId="31" fillId="23" borderId="1" xfId="5" applyFont="1" applyFill="1" applyBorder="1" applyAlignment="1" applyProtection="1">
      <alignment horizontal="left"/>
    </xf>
    <xf numFmtId="10" fontId="31" fillId="23" borderId="1" xfId="0" applyNumberFormat="1" applyFont="1" applyFill="1" applyBorder="1" applyAlignment="1">
      <alignment horizontal="center"/>
    </xf>
    <xf numFmtId="0" fontId="31" fillId="23" borderId="1" xfId="7" applyFont="1" applyFill="1" applyBorder="1" applyAlignment="1" applyProtection="1">
      <alignment horizontal="left"/>
    </xf>
    <xf numFmtId="0" fontId="30" fillId="25" borderId="1" xfId="8" applyFont="1" applyFill="1" applyBorder="1" applyAlignment="1" applyProtection="1">
      <alignment horizontal="left"/>
    </xf>
    <xf numFmtId="10" fontId="30" fillId="25" borderId="1" xfId="4" applyNumberFormat="1" applyFont="1" applyFill="1" applyBorder="1" applyAlignment="1" applyProtection="1">
      <alignment horizontal="center"/>
    </xf>
    <xf numFmtId="0" fontId="31" fillId="26" borderId="1" xfId="4" applyFont="1" applyFill="1" applyBorder="1" applyAlignment="1" applyProtection="1">
      <alignment horizontal="left"/>
    </xf>
    <xf numFmtId="10" fontId="31" fillId="26" borderId="1" xfId="0" applyNumberFormat="1" applyFont="1" applyFill="1" applyBorder="1" applyAlignment="1">
      <alignment horizontal="center"/>
    </xf>
    <xf numFmtId="0" fontId="30" fillId="28" borderId="1" xfId="9" applyFont="1" applyFill="1" applyBorder="1" applyAlignment="1" applyProtection="1">
      <alignment horizontal="left"/>
    </xf>
    <xf numFmtId="10" fontId="30" fillId="28" borderId="1" xfId="0" applyNumberFormat="1" applyFont="1" applyFill="1" applyBorder="1" applyAlignment="1">
      <alignment horizontal="center"/>
    </xf>
    <xf numFmtId="0" fontId="31" fillId="30" borderId="1" xfId="10" applyFont="1" applyFill="1" applyBorder="1" applyAlignment="1" applyProtection="1">
      <alignment horizontal="left"/>
    </xf>
    <xf numFmtId="10" fontId="31" fillId="30" borderId="1" xfId="0" applyNumberFormat="1" applyFont="1" applyFill="1" applyBorder="1" applyAlignment="1">
      <alignment horizontal="center"/>
    </xf>
    <xf numFmtId="0" fontId="30" fillId="32" borderId="1" xfId="11" applyFont="1" applyFill="1" applyBorder="1" applyAlignment="1" applyProtection="1">
      <alignment horizontal="left"/>
    </xf>
    <xf numFmtId="10" fontId="30" fillId="32" borderId="1" xfId="0" applyNumberFormat="1" applyFont="1" applyFill="1" applyBorder="1" applyAlignment="1">
      <alignment horizontal="center"/>
    </xf>
    <xf numFmtId="0" fontId="31" fillId="33" borderId="1" xfId="11" applyFont="1" applyFill="1" applyBorder="1" applyAlignment="1" applyProtection="1">
      <alignment horizontal="left"/>
    </xf>
    <xf numFmtId="10" fontId="31" fillId="33" borderId="1" xfId="0" applyNumberFormat="1" applyFont="1" applyFill="1" applyBorder="1" applyAlignment="1">
      <alignment horizontal="center"/>
    </xf>
    <xf numFmtId="0" fontId="31" fillId="33" borderId="1" xfId="12" applyFont="1" applyFill="1" applyBorder="1" applyAlignment="1" applyProtection="1">
      <alignment horizontal="left"/>
    </xf>
    <xf numFmtId="0" fontId="24" fillId="6" borderId="1" xfId="0" applyFont="1" applyFill="1" applyBorder="1" applyAlignment="1">
      <alignment horizontal="center" vertical="center"/>
    </xf>
    <xf numFmtId="0" fontId="25" fillId="0" borderId="1" xfId="0" applyFont="1" applyBorder="1" applyProtection="1">
      <protection locked="0"/>
    </xf>
    <xf numFmtId="0" fontId="25" fillId="2" borderId="1" xfId="0" applyFont="1" applyFill="1" applyBorder="1" applyAlignment="1" applyProtection="1">
      <alignment horizontal="center" vertical="center"/>
      <protection locked="0"/>
    </xf>
    <xf numFmtId="0" fontId="25" fillId="0" borderId="1" xfId="0" applyFont="1" applyBorder="1" applyAlignment="1">
      <alignment horizontal="left" vertical="center"/>
    </xf>
    <xf numFmtId="0" fontId="33" fillId="0" borderId="1" xfId="0" applyFont="1" applyBorder="1"/>
    <xf numFmtId="2" fontId="24" fillId="6" borderId="1" xfId="0" applyNumberFormat="1" applyFont="1" applyFill="1" applyBorder="1" applyAlignment="1">
      <alignment horizontal="center" vertical="center"/>
    </xf>
    <xf numFmtId="0" fontId="24" fillId="36" borderId="1" xfId="0" applyFont="1" applyFill="1" applyBorder="1" applyAlignment="1">
      <alignment horizontal="center" vertical="center"/>
    </xf>
    <xf numFmtId="0" fontId="27" fillId="37" borderId="30" xfId="0" applyFont="1" applyFill="1" applyBorder="1" applyAlignment="1" applyProtection="1">
      <alignment horizontal="center" vertical="center"/>
      <protection locked="0"/>
    </xf>
    <xf numFmtId="0" fontId="27" fillId="37" borderId="30" xfId="0" applyFont="1" applyFill="1" applyBorder="1" applyAlignment="1" applyProtection="1">
      <alignment horizontal="center" vertical="center" wrapText="1"/>
      <protection locked="0"/>
    </xf>
    <xf numFmtId="0" fontId="27" fillId="37" borderId="31" xfId="0" applyFont="1" applyFill="1" applyBorder="1" applyAlignment="1">
      <alignment horizontal="center" vertical="center" wrapText="1"/>
    </xf>
    <xf numFmtId="0" fontId="27" fillId="37" borderId="30" xfId="0" applyFont="1" applyFill="1" applyBorder="1" applyAlignment="1">
      <alignment horizontal="center" vertical="center" wrapText="1"/>
    </xf>
    <xf numFmtId="0" fontId="27" fillId="37" borderId="31" xfId="0" applyFont="1" applyFill="1" applyBorder="1" applyAlignment="1" applyProtection="1">
      <alignment horizontal="center" vertical="center" wrapText="1"/>
      <protection locked="0"/>
    </xf>
    <xf numFmtId="0" fontId="28" fillId="9" borderId="1" xfId="0" applyFont="1" applyFill="1" applyBorder="1" applyAlignment="1">
      <alignment horizontal="center" vertical="center"/>
    </xf>
    <xf numFmtId="9" fontId="29" fillId="9" borderId="1" xfId="1" applyFont="1" applyFill="1" applyBorder="1" applyAlignment="1">
      <alignment horizontal="center" vertical="center"/>
    </xf>
    <xf numFmtId="9" fontId="28" fillId="9" borderId="1" xfId="1" applyFont="1" applyFill="1" applyBorder="1" applyAlignment="1">
      <alignment horizontal="center" vertical="center"/>
    </xf>
    <xf numFmtId="0" fontId="25" fillId="9" borderId="1" xfId="0" applyFont="1" applyFill="1" applyBorder="1"/>
    <xf numFmtId="0" fontId="14" fillId="37" borderId="5" xfId="0" applyFont="1" applyFill="1" applyBorder="1" applyAlignment="1">
      <alignment horizontal="left" vertical="center" wrapText="1"/>
    </xf>
    <xf numFmtId="0" fontId="33" fillId="0" borderId="1" xfId="0" applyFont="1" applyBorder="1" applyAlignment="1">
      <alignment horizontal="center" vertical="center"/>
    </xf>
    <xf numFmtId="164" fontId="22" fillId="11" borderId="1" xfId="13" applyFont="1" applyFill="1" applyBorder="1"/>
    <xf numFmtId="164" fontId="22" fillId="6" borderId="8" xfId="13" applyFont="1" applyFill="1" applyBorder="1"/>
    <xf numFmtId="164" fontId="22" fillId="12" borderId="1" xfId="13" applyFont="1" applyFill="1" applyBorder="1"/>
    <xf numFmtId="164" fontId="22" fillId="13" borderId="1" xfId="13" applyFont="1" applyFill="1" applyBorder="1"/>
    <xf numFmtId="164" fontId="10" fillId="7" borderId="1" xfId="13" applyFont="1" applyFill="1" applyBorder="1"/>
    <xf numFmtId="2" fontId="10" fillId="6" borderId="1" xfId="0" applyNumberFormat="1" applyFont="1" applyFill="1" applyBorder="1" applyAlignment="1">
      <alignment horizontal="center"/>
    </xf>
    <xf numFmtId="1" fontId="10" fillId="6" borderId="1" xfId="0" applyNumberFormat="1" applyFont="1" applyFill="1" applyBorder="1" applyAlignment="1">
      <alignment horizontal="center"/>
    </xf>
    <xf numFmtId="1" fontId="10" fillId="6" borderId="5" xfId="0" applyNumberFormat="1" applyFont="1" applyFill="1" applyBorder="1" applyAlignment="1">
      <alignment horizontal="center"/>
    </xf>
    <xf numFmtId="0" fontId="35" fillId="2" borderId="20" xfId="0" applyFont="1" applyFill="1" applyBorder="1" applyAlignment="1">
      <alignment horizontal="left" vertical="center"/>
    </xf>
    <xf numFmtId="0" fontId="11" fillId="2" borderId="0" xfId="0" applyFont="1" applyFill="1" applyAlignment="1">
      <alignment horizontal="center" vertical="center"/>
    </xf>
    <xf numFmtId="0" fontId="11" fillId="2" borderId="19" xfId="0" applyFont="1" applyFill="1" applyBorder="1" applyAlignment="1">
      <alignment horizontal="left" vertical="center"/>
    </xf>
    <xf numFmtId="0" fontId="36" fillId="6" borderId="9" xfId="0" applyFont="1" applyFill="1" applyBorder="1" applyAlignment="1" applyProtection="1">
      <alignment horizontal="left" vertical="center" wrapText="1"/>
      <protection locked="0"/>
    </xf>
    <xf numFmtId="0" fontId="35" fillId="2" borderId="0" xfId="0" applyFont="1" applyFill="1" applyAlignment="1">
      <alignment horizontal="left" vertical="center"/>
    </xf>
    <xf numFmtId="0" fontId="36" fillId="6" borderId="29" xfId="0" applyFont="1" applyFill="1" applyBorder="1" applyAlignment="1">
      <alignment horizontal="left" vertical="center" wrapText="1"/>
    </xf>
    <xf numFmtId="0" fontId="36" fillId="6" borderId="9" xfId="0" applyFont="1" applyFill="1" applyBorder="1" applyAlignment="1">
      <alignment horizontal="left" vertical="center" wrapText="1"/>
    </xf>
    <xf numFmtId="0" fontId="11" fillId="2" borderId="0" xfId="0" applyFont="1" applyFill="1" applyAlignment="1">
      <alignment horizontal="left" vertical="center"/>
    </xf>
    <xf numFmtId="0" fontId="35" fillId="0" borderId="20" xfId="0" applyFont="1" applyBorder="1" applyAlignment="1">
      <alignment horizontal="left" vertical="center"/>
    </xf>
    <xf numFmtId="0" fontId="11" fillId="2" borderId="20" xfId="0" applyFont="1" applyFill="1" applyBorder="1" applyAlignment="1">
      <alignment horizontal="center" vertical="center"/>
    </xf>
    <xf numFmtId="0" fontId="16" fillId="2" borderId="57" xfId="0" applyFont="1" applyFill="1" applyBorder="1" applyAlignment="1">
      <alignment horizontal="left" vertical="center"/>
    </xf>
    <xf numFmtId="0" fontId="36" fillId="6" borderId="15" xfId="0" applyFont="1" applyFill="1" applyBorder="1" applyAlignment="1" applyProtection="1">
      <alignment horizontal="left" vertical="center" wrapText="1"/>
      <protection locked="0"/>
    </xf>
    <xf numFmtId="0" fontId="16" fillId="2" borderId="20" xfId="0" applyFont="1" applyFill="1" applyBorder="1" applyAlignment="1">
      <alignment horizontal="left" vertical="center"/>
    </xf>
    <xf numFmtId="0" fontId="37" fillId="2" borderId="0" xfId="0" applyFont="1" applyFill="1" applyAlignment="1">
      <alignment horizontal="left" vertical="center"/>
    </xf>
    <xf numFmtId="0" fontId="36" fillId="6" borderId="29" xfId="0" applyFont="1" applyFill="1" applyBorder="1" applyAlignment="1" applyProtection="1">
      <alignment horizontal="left" vertical="center" wrapText="1"/>
      <protection locked="0"/>
    </xf>
    <xf numFmtId="0" fontId="36" fillId="2" borderId="0" xfId="0" applyFont="1" applyFill="1" applyAlignment="1" applyProtection="1">
      <alignment horizontal="left" vertical="center"/>
      <protection locked="0"/>
    </xf>
    <xf numFmtId="0" fontId="36" fillId="2" borderId="19" xfId="0" applyFont="1" applyFill="1" applyBorder="1" applyAlignment="1" applyProtection="1">
      <alignment horizontal="left" vertical="center"/>
      <protection locked="0"/>
    </xf>
    <xf numFmtId="0" fontId="35" fillId="2" borderId="20" xfId="0" applyFont="1" applyFill="1" applyBorder="1" applyAlignment="1">
      <alignment vertical="center"/>
    </xf>
    <xf numFmtId="0" fontId="36" fillId="6" borderId="1" xfId="0" applyFont="1" applyFill="1" applyBorder="1" applyAlignment="1">
      <alignment horizontal="left" vertical="center" wrapText="1"/>
    </xf>
    <xf numFmtId="0" fontId="35" fillId="2" borderId="0" xfId="0" applyFont="1" applyFill="1" applyAlignment="1">
      <alignment vertical="center"/>
    </xf>
    <xf numFmtId="0" fontId="16" fillId="2" borderId="21" xfId="0" applyFont="1" applyFill="1" applyBorder="1" applyAlignment="1">
      <alignment horizontal="left" vertical="center"/>
    </xf>
    <xf numFmtId="0" fontId="11" fillId="2" borderId="2" xfId="0" applyFont="1" applyFill="1" applyBorder="1" applyAlignment="1">
      <alignment horizontal="left" vertical="center"/>
    </xf>
    <xf numFmtId="0" fontId="11" fillId="2" borderId="2" xfId="0" applyFont="1" applyFill="1" applyBorder="1" applyAlignment="1">
      <alignment horizontal="center" vertical="center"/>
    </xf>
    <xf numFmtId="0" fontId="11" fillId="2" borderId="22" xfId="0" applyFont="1" applyFill="1" applyBorder="1" applyAlignment="1">
      <alignment horizontal="left" vertical="center"/>
    </xf>
    <xf numFmtId="0" fontId="35" fillId="2" borderId="18" xfId="0" applyFont="1" applyFill="1" applyBorder="1" applyAlignment="1">
      <alignment horizontal="left" vertical="center"/>
    </xf>
    <xf numFmtId="0" fontId="36" fillId="6" borderId="37" xfId="0" applyFont="1" applyFill="1" applyBorder="1" applyAlignment="1" applyProtection="1">
      <alignment horizontal="left" vertical="center" wrapText="1"/>
      <protection locked="0"/>
    </xf>
    <xf numFmtId="0" fontId="11" fillId="2" borderId="0" xfId="0" applyFont="1" applyFill="1" applyAlignment="1" applyProtection="1">
      <alignment horizontal="center" vertical="center"/>
      <protection locked="0"/>
    </xf>
    <xf numFmtId="0" fontId="36" fillId="2" borderId="19" xfId="0" applyFont="1" applyFill="1" applyBorder="1" applyAlignment="1" applyProtection="1">
      <alignment horizontal="left" vertical="center" wrapText="1"/>
      <protection locked="0"/>
    </xf>
    <xf numFmtId="0" fontId="36" fillId="6" borderId="38" xfId="0" applyFont="1" applyFill="1" applyBorder="1" applyAlignment="1" applyProtection="1">
      <alignment horizontal="left" vertical="center" wrapText="1"/>
      <protection locked="0"/>
    </xf>
    <xf numFmtId="0" fontId="36" fillId="6" borderId="52" xfId="0" applyFont="1" applyFill="1" applyBorder="1" applyAlignment="1" applyProtection="1">
      <alignment horizontal="left" vertical="center" wrapText="1"/>
      <protection locked="0"/>
    </xf>
    <xf numFmtId="0" fontId="36" fillId="6" borderId="59" xfId="0" applyFont="1" applyFill="1" applyBorder="1" applyAlignment="1" applyProtection="1">
      <alignment horizontal="left" vertical="center" wrapText="1"/>
      <protection locked="0"/>
    </xf>
    <xf numFmtId="166" fontId="36" fillId="6" borderId="1" xfId="0" applyNumberFormat="1" applyFont="1" applyFill="1" applyBorder="1" applyAlignment="1" applyProtection="1">
      <alignment horizontal="left" vertical="center" wrapText="1"/>
      <protection locked="0"/>
    </xf>
    <xf numFmtId="14" fontId="36" fillId="6" borderId="29" xfId="0" applyNumberFormat="1" applyFont="1" applyFill="1" applyBorder="1" applyAlignment="1" applyProtection="1">
      <alignment horizontal="left" vertical="center" wrapText="1"/>
      <protection locked="0"/>
    </xf>
    <xf numFmtId="0" fontId="35" fillId="2" borderId="21" xfId="0" applyFont="1" applyFill="1" applyBorder="1" applyAlignment="1">
      <alignment horizontal="left" vertical="center"/>
    </xf>
    <xf numFmtId="14" fontId="36" fillId="2" borderId="2" xfId="0" applyNumberFormat="1" applyFont="1" applyFill="1" applyBorder="1" applyAlignment="1" applyProtection="1">
      <alignment horizontal="left" vertical="center" wrapText="1"/>
      <protection locked="0"/>
    </xf>
    <xf numFmtId="0" fontId="11" fillId="2" borderId="2" xfId="0" applyFont="1" applyFill="1" applyBorder="1" applyAlignment="1" applyProtection="1">
      <alignment horizontal="center" vertical="center"/>
      <protection locked="0"/>
    </xf>
    <xf numFmtId="0" fontId="35" fillId="2" borderId="2" xfId="0" applyFont="1" applyFill="1" applyBorder="1" applyAlignment="1">
      <alignment horizontal="left" vertical="center"/>
    </xf>
    <xf numFmtId="0" fontId="36" fillId="2" borderId="22" xfId="0" applyFont="1" applyFill="1" applyBorder="1" applyAlignment="1" applyProtection="1">
      <alignment horizontal="left" vertical="center" wrapText="1"/>
      <protection locked="0"/>
    </xf>
    <xf numFmtId="14" fontId="36" fillId="2" borderId="0" xfId="0" applyNumberFormat="1" applyFont="1" applyFill="1" applyAlignment="1" applyProtection="1">
      <alignment horizontal="left" vertical="center" wrapText="1"/>
      <protection locked="0"/>
    </xf>
    <xf numFmtId="0" fontId="36" fillId="2" borderId="0" xfId="0" applyFont="1" applyFill="1" applyAlignment="1" applyProtection="1">
      <alignment horizontal="left" vertical="center" wrapText="1"/>
      <protection locked="0"/>
    </xf>
    <xf numFmtId="0" fontId="11" fillId="2" borderId="28" xfId="0" applyFont="1" applyFill="1" applyBorder="1" applyAlignment="1">
      <alignment horizontal="center" vertical="center"/>
    </xf>
    <xf numFmtId="0" fontId="11" fillId="2" borderId="4" xfId="0" applyFont="1" applyFill="1" applyBorder="1" applyAlignment="1">
      <alignment horizontal="left" vertical="center"/>
    </xf>
    <xf numFmtId="0" fontId="11" fillId="2" borderId="4" xfId="0" applyFont="1" applyFill="1" applyBorder="1" applyAlignment="1">
      <alignment horizontal="center" vertical="center"/>
    </xf>
    <xf numFmtId="0" fontId="15" fillId="2" borderId="4" xfId="0" applyFont="1" applyFill="1" applyBorder="1" applyAlignment="1">
      <alignment horizontal="center" vertical="center"/>
    </xf>
    <xf numFmtId="0" fontId="11" fillId="2" borderId="24" xfId="0" applyFont="1" applyFill="1" applyBorder="1" applyAlignment="1">
      <alignment horizontal="left" vertical="center"/>
    </xf>
    <xf numFmtId="0" fontId="15" fillId="2" borderId="28" xfId="0" applyFont="1" applyFill="1" applyBorder="1" applyAlignment="1">
      <alignment horizontal="left" vertical="center"/>
    </xf>
    <xf numFmtId="0" fontId="38" fillId="2" borderId="4" xfId="0" applyFont="1" applyFill="1" applyBorder="1" applyAlignment="1">
      <alignment horizontal="left" vertical="center"/>
    </xf>
    <xf numFmtId="0" fontId="39" fillId="2" borderId="4" xfId="0" applyFont="1" applyFill="1" applyBorder="1" applyAlignment="1">
      <alignment horizontal="center"/>
    </xf>
    <xf numFmtId="0" fontId="11" fillId="2" borderId="24" xfId="0" applyFont="1" applyFill="1" applyBorder="1" applyAlignment="1">
      <alignment horizontal="left"/>
    </xf>
    <xf numFmtId="4" fontId="36" fillId="6" borderId="15" xfId="0" applyNumberFormat="1" applyFont="1" applyFill="1" applyBorder="1" applyAlignment="1" applyProtection="1">
      <alignment horizontal="left" vertical="center" wrapText="1"/>
      <protection locked="0"/>
    </xf>
    <xf numFmtId="0" fontId="35" fillId="2" borderId="1" xfId="0" applyFont="1" applyFill="1" applyBorder="1" applyAlignment="1">
      <alignment horizontal="left" vertical="center"/>
    </xf>
    <xf numFmtId="0" fontId="11" fillId="0" borderId="19" xfId="0" applyFont="1" applyBorder="1"/>
    <xf numFmtId="0" fontId="11" fillId="0" borderId="20" xfId="0" applyFont="1" applyBorder="1"/>
    <xf numFmtId="0" fontId="11" fillId="0" borderId="2" xfId="0" applyFont="1" applyBorder="1"/>
    <xf numFmtId="0" fontId="11" fillId="2" borderId="5" xfId="0" applyFont="1" applyFill="1" applyBorder="1" applyAlignment="1" applyProtection="1">
      <alignment horizontal="center" vertical="center"/>
      <protection locked="0"/>
    </xf>
    <xf numFmtId="0" fontId="11" fillId="0" borderId="45" xfId="0" applyFont="1" applyBorder="1"/>
    <xf numFmtId="0" fontId="11" fillId="0" borderId="41" xfId="0" applyFont="1" applyBorder="1"/>
    <xf numFmtId="0" fontId="35" fillId="2" borderId="48" xfId="0" applyFont="1" applyFill="1" applyBorder="1" applyAlignment="1">
      <alignment horizontal="left" vertical="center"/>
    </xf>
    <xf numFmtId="166" fontId="36" fillId="6" borderId="22" xfId="0" applyNumberFormat="1" applyFont="1" applyFill="1" applyBorder="1" applyAlignment="1" applyProtection="1">
      <alignment horizontal="left" vertical="center" wrapText="1"/>
      <protection locked="0"/>
    </xf>
    <xf numFmtId="0" fontId="11" fillId="2" borderId="0" xfId="0" applyFont="1" applyFill="1" applyAlignment="1">
      <alignment vertical="center"/>
    </xf>
    <xf numFmtId="0" fontId="36" fillId="6" borderId="40" xfId="0" applyFont="1" applyFill="1" applyBorder="1" applyAlignment="1" applyProtection="1">
      <alignment horizontal="left" vertical="center" wrapText="1"/>
      <protection locked="0"/>
    </xf>
    <xf numFmtId="0" fontId="16" fillId="2" borderId="28" xfId="0" applyFont="1" applyFill="1" applyBorder="1" applyAlignment="1">
      <alignment horizontal="left" vertical="center"/>
    </xf>
    <xf numFmtId="0" fontId="15" fillId="2" borderId="0" xfId="0" applyFont="1" applyFill="1" applyAlignment="1">
      <alignment horizontal="center" vertical="center"/>
    </xf>
    <xf numFmtId="14" fontId="36" fillId="6" borderId="61" xfId="0" applyNumberFormat="1" applyFont="1" applyFill="1" applyBorder="1" applyAlignment="1" applyProtection="1">
      <alignment horizontal="left" vertical="center" wrapText="1"/>
      <protection locked="0"/>
    </xf>
    <xf numFmtId="2" fontId="16" fillId="2" borderId="0" xfId="0" applyNumberFormat="1" applyFont="1" applyFill="1" applyAlignment="1">
      <alignment horizontal="center" vertical="center"/>
    </xf>
    <xf numFmtId="0" fontId="16" fillId="2" borderId="0" xfId="0" applyFont="1" applyFill="1" applyAlignment="1">
      <alignment horizontal="center" vertical="center"/>
    </xf>
    <xf numFmtId="0" fontId="35" fillId="0" borderId="1" xfId="0" applyFont="1" applyBorder="1" applyAlignment="1">
      <alignment horizontal="left" vertical="center"/>
    </xf>
    <xf numFmtId="0" fontId="36" fillId="0" borderId="41" xfId="0" applyFont="1" applyBorder="1" applyAlignment="1" applyProtection="1">
      <alignment horizontal="left" vertical="center" wrapText="1"/>
      <protection locked="0"/>
    </xf>
    <xf numFmtId="166" fontId="36" fillId="0" borderId="41" xfId="0" applyNumberFormat="1" applyFont="1" applyBorder="1" applyAlignment="1" applyProtection="1">
      <alignment horizontal="left" vertical="center" wrapText="1"/>
      <protection locked="0"/>
    </xf>
    <xf numFmtId="0" fontId="11" fillId="0" borderId="21" xfId="0" applyFont="1" applyBorder="1"/>
    <xf numFmtId="0" fontId="35" fillId="0" borderId="42" xfId="0" applyFont="1" applyBorder="1" applyAlignment="1">
      <alignment horizontal="left" vertical="center"/>
    </xf>
    <xf numFmtId="165" fontId="36" fillId="0" borderId="43" xfId="0" applyNumberFormat="1" applyFont="1" applyBorder="1" applyAlignment="1" applyProtection="1">
      <alignment horizontal="left" vertical="center" wrapText="1"/>
      <protection locked="0"/>
    </xf>
    <xf numFmtId="0" fontId="11" fillId="0" borderId="0" xfId="0" applyFont="1" applyAlignment="1">
      <alignment horizontal="left" wrapText="1"/>
    </xf>
    <xf numFmtId="0" fontId="18" fillId="0" borderId="1" xfId="0" applyFont="1" applyBorder="1" applyAlignment="1">
      <alignment vertical="center" wrapText="1"/>
    </xf>
    <xf numFmtId="0" fontId="33" fillId="0" borderId="1" xfId="0" applyFont="1" applyBorder="1" applyAlignment="1">
      <alignment vertical="center"/>
    </xf>
    <xf numFmtId="0" fontId="33" fillId="0" borderId="1" xfId="0" applyFont="1" applyBorder="1" applyAlignment="1">
      <alignment horizontal="left" vertical="center" indent="1"/>
    </xf>
    <xf numFmtId="2" fontId="33" fillId="0" borderId="1" xfId="0" applyNumberFormat="1" applyFont="1" applyBorder="1" applyAlignment="1">
      <alignment horizontal="left" vertical="center" wrapText="1"/>
    </xf>
    <xf numFmtId="0" fontId="33" fillId="0" borderId="0" xfId="0" applyFont="1"/>
    <xf numFmtId="0" fontId="11" fillId="6" borderId="39" xfId="0" applyFont="1" applyFill="1" applyBorder="1" applyAlignment="1">
      <alignment horizontal="left" vertical="center" wrapText="1"/>
    </xf>
    <xf numFmtId="0" fontId="11" fillId="6" borderId="39" xfId="0" applyFont="1" applyFill="1" applyBorder="1" applyAlignment="1">
      <alignment horizontal="left" vertical="top" wrapText="1"/>
    </xf>
    <xf numFmtId="0" fontId="9" fillId="37" borderId="16" xfId="0" applyFont="1" applyFill="1" applyBorder="1" applyAlignment="1">
      <alignment horizontal="left" vertical="center"/>
    </xf>
    <xf numFmtId="0" fontId="9" fillId="37" borderId="49" xfId="0" applyFont="1" applyFill="1" applyBorder="1" applyAlignment="1">
      <alignment horizontal="left" vertical="center"/>
    </xf>
    <xf numFmtId="0" fontId="9" fillId="37" borderId="50" xfId="0" applyFont="1" applyFill="1" applyBorder="1" applyAlignment="1">
      <alignment horizontal="left" vertical="center"/>
    </xf>
    <xf numFmtId="0" fontId="9" fillId="37" borderId="51" xfId="0" applyFont="1" applyFill="1" applyBorder="1" applyAlignment="1">
      <alignment horizontal="left" vertical="center"/>
    </xf>
    <xf numFmtId="0" fontId="12" fillId="0" borderId="28" xfId="0" applyFont="1" applyBorder="1" applyAlignment="1">
      <alignment horizontal="left" vertical="center" wrapText="1"/>
    </xf>
    <xf numFmtId="0" fontId="12" fillId="0" borderId="4" xfId="0" applyFont="1" applyBorder="1" applyAlignment="1">
      <alignment horizontal="left" vertical="center" wrapText="1"/>
    </xf>
    <xf numFmtId="0" fontId="12" fillId="0" borderId="24" xfId="0" applyFont="1" applyBorder="1" applyAlignment="1">
      <alignment horizontal="left" vertical="center" wrapText="1"/>
    </xf>
    <xf numFmtId="0" fontId="12" fillId="0" borderId="21" xfId="0" applyFont="1" applyBorder="1" applyAlignment="1">
      <alignment horizontal="left" vertical="center" wrapText="1"/>
    </xf>
    <xf numFmtId="0" fontId="12" fillId="0" borderId="2" xfId="0" applyFont="1" applyBorder="1" applyAlignment="1">
      <alignment horizontal="left" vertical="center" wrapText="1"/>
    </xf>
    <xf numFmtId="0" fontId="12" fillId="0" borderId="22" xfId="0" applyFont="1" applyBorder="1" applyAlignment="1">
      <alignment horizontal="left" vertical="center" wrapText="1"/>
    </xf>
    <xf numFmtId="0" fontId="12" fillId="2" borderId="28" xfId="0" applyFont="1" applyFill="1" applyBorder="1" applyAlignment="1">
      <alignment horizontal="left" vertical="center" wrapText="1"/>
    </xf>
    <xf numFmtId="0" fontId="12" fillId="2" borderId="4" xfId="0" applyFont="1" applyFill="1" applyBorder="1" applyAlignment="1">
      <alignment horizontal="left" vertical="center" wrapText="1"/>
    </xf>
    <xf numFmtId="0" fontId="12" fillId="2" borderId="24" xfId="0" applyFont="1" applyFill="1" applyBorder="1" applyAlignment="1">
      <alignment horizontal="left" vertical="center" wrapText="1"/>
    </xf>
    <xf numFmtId="0" fontId="12" fillId="2" borderId="21" xfId="0" applyFont="1" applyFill="1" applyBorder="1" applyAlignment="1">
      <alignment horizontal="left" vertical="center" wrapText="1"/>
    </xf>
    <xf numFmtId="0" fontId="12" fillId="2" borderId="2" xfId="0" applyFont="1" applyFill="1" applyBorder="1" applyAlignment="1">
      <alignment horizontal="left" vertical="center" wrapText="1"/>
    </xf>
    <xf numFmtId="0" fontId="12" fillId="2" borderId="22" xfId="0" applyFont="1" applyFill="1" applyBorder="1" applyAlignment="1">
      <alignment horizontal="left" vertical="center" wrapText="1"/>
    </xf>
    <xf numFmtId="0" fontId="12" fillId="2" borderId="4" xfId="0" applyFont="1" applyFill="1" applyBorder="1" applyAlignment="1">
      <alignment horizontal="left" vertical="center"/>
    </xf>
    <xf numFmtId="0" fontId="12" fillId="2" borderId="24" xfId="0" applyFont="1" applyFill="1" applyBorder="1" applyAlignment="1">
      <alignment horizontal="left" vertical="center"/>
    </xf>
    <xf numFmtId="0" fontId="12" fillId="2" borderId="21" xfId="0" applyFont="1" applyFill="1" applyBorder="1" applyAlignment="1">
      <alignment horizontal="left" vertical="center"/>
    </xf>
    <xf numFmtId="0" fontId="12" fillId="2" borderId="2" xfId="0" applyFont="1" applyFill="1" applyBorder="1" applyAlignment="1">
      <alignment horizontal="left" vertical="center"/>
    </xf>
    <xf numFmtId="0" fontId="12" fillId="2" borderId="22" xfId="0" applyFont="1" applyFill="1" applyBorder="1" applyAlignment="1">
      <alignment horizontal="left" vertical="center"/>
    </xf>
    <xf numFmtId="0" fontId="9" fillId="37" borderId="16" xfId="0" applyFont="1" applyFill="1" applyBorder="1" applyAlignment="1">
      <alignment horizontal="left" vertical="center" wrapText="1"/>
    </xf>
    <xf numFmtId="0" fontId="36" fillId="6" borderId="60" xfId="0" applyFont="1" applyFill="1" applyBorder="1" applyAlignment="1" applyProtection="1">
      <alignment horizontal="left" vertical="center" wrapText="1"/>
      <protection locked="0"/>
    </xf>
    <xf numFmtId="0" fontId="36" fillId="6" borderId="14" xfId="0" applyFont="1" applyFill="1" applyBorder="1" applyAlignment="1" applyProtection="1">
      <alignment horizontal="left" vertical="center" wrapText="1"/>
      <protection locked="0"/>
    </xf>
    <xf numFmtId="0" fontId="36" fillId="6" borderId="37" xfId="0" applyFont="1" applyFill="1" applyBorder="1" applyAlignment="1" applyProtection="1">
      <alignment horizontal="left" vertical="center" wrapText="1"/>
      <protection locked="0"/>
    </xf>
    <xf numFmtId="0" fontId="14" fillId="37" borderId="26" xfId="0" applyFont="1" applyFill="1" applyBorder="1" applyAlignment="1">
      <alignment horizontal="center" vertical="center"/>
    </xf>
    <xf numFmtId="0" fontId="14" fillId="37" borderId="3" xfId="0" applyFont="1" applyFill="1" applyBorder="1" applyAlignment="1">
      <alignment horizontal="center" vertical="center"/>
    </xf>
    <xf numFmtId="0" fontId="14" fillId="37" borderId="27" xfId="0" applyFont="1" applyFill="1" applyBorder="1" applyAlignment="1">
      <alignment horizontal="center" vertical="center"/>
    </xf>
    <xf numFmtId="0" fontId="35" fillId="6" borderId="5" xfId="0" applyFont="1" applyFill="1" applyBorder="1" applyAlignment="1" applyProtection="1">
      <alignment horizontal="center" vertical="top" wrapText="1"/>
      <protection locked="0"/>
    </xf>
    <xf numFmtId="0" fontId="35" fillId="6" borderId="41" xfId="0" applyFont="1" applyFill="1" applyBorder="1" applyAlignment="1" applyProtection="1">
      <alignment horizontal="center" vertical="top" wrapText="1"/>
      <protection locked="0"/>
    </xf>
    <xf numFmtId="0" fontId="36" fillId="6" borderId="39" xfId="0" applyFont="1" applyFill="1" applyBorder="1" applyAlignment="1" applyProtection="1">
      <alignment horizontal="left" vertical="top" wrapText="1"/>
      <protection locked="0"/>
    </xf>
    <xf numFmtId="0" fontId="36" fillId="6" borderId="5" xfId="0" applyFont="1" applyFill="1" applyBorder="1" applyAlignment="1" applyProtection="1">
      <alignment horizontal="left" vertical="center" wrapText="1"/>
      <protection locked="0"/>
    </xf>
    <xf numFmtId="0" fontId="36" fillId="6" borderId="45" xfId="0" applyFont="1" applyFill="1" applyBorder="1" applyAlignment="1" applyProtection="1">
      <alignment horizontal="left" vertical="center" wrapText="1"/>
      <protection locked="0"/>
    </xf>
    <xf numFmtId="0" fontId="36" fillId="6" borderId="41" xfId="0" applyFont="1" applyFill="1" applyBorder="1" applyAlignment="1" applyProtection="1">
      <alignment horizontal="left" vertical="center" wrapText="1"/>
      <protection locked="0"/>
    </xf>
    <xf numFmtId="0" fontId="14" fillId="37" borderId="26" xfId="0" applyFont="1" applyFill="1" applyBorder="1" applyAlignment="1">
      <alignment horizontal="center"/>
    </xf>
    <xf numFmtId="0" fontId="14" fillId="37" borderId="3" xfId="0" applyFont="1" applyFill="1" applyBorder="1" applyAlignment="1">
      <alignment horizontal="center"/>
    </xf>
    <xf numFmtId="0" fontId="14" fillId="37" borderId="27" xfId="0" applyFont="1" applyFill="1" applyBorder="1" applyAlignment="1">
      <alignment horizontal="center"/>
    </xf>
    <xf numFmtId="0" fontId="35" fillId="6" borderId="1" xfId="0" applyFont="1" applyFill="1" applyBorder="1" applyAlignment="1" applyProtection="1">
      <alignment horizontal="center" vertical="top" wrapText="1"/>
      <protection locked="0"/>
    </xf>
    <xf numFmtId="0" fontId="35" fillId="6" borderId="39" xfId="0" applyFont="1" applyFill="1" applyBorder="1" applyAlignment="1" applyProtection="1">
      <alignment horizontal="center" vertical="top" wrapText="1"/>
      <protection locked="0"/>
    </xf>
    <xf numFmtId="0" fontId="36" fillId="6" borderId="54" xfId="0" applyFont="1" applyFill="1" applyBorder="1" applyAlignment="1">
      <alignment horizontal="left" vertical="top" wrapText="1"/>
    </xf>
    <xf numFmtId="0" fontId="35" fillId="6" borderId="53" xfId="0" applyFont="1" applyFill="1" applyBorder="1" applyAlignment="1">
      <alignment horizontal="left" vertical="top" wrapText="1"/>
    </xf>
    <xf numFmtId="0" fontId="35" fillId="6" borderId="55" xfId="0" applyFont="1" applyFill="1" applyBorder="1" applyAlignment="1">
      <alignment horizontal="left" vertical="top" wrapText="1"/>
    </xf>
    <xf numFmtId="0" fontId="35" fillId="6" borderId="19" xfId="0" applyFont="1" applyFill="1" applyBorder="1" applyAlignment="1">
      <alignment horizontal="left" vertical="top" wrapText="1"/>
    </xf>
    <xf numFmtId="0" fontId="35" fillId="6" borderId="56" xfId="0" applyFont="1" applyFill="1" applyBorder="1" applyAlignment="1">
      <alignment horizontal="left" vertical="top" wrapText="1"/>
    </xf>
    <xf numFmtId="0" fontId="35" fillId="6" borderId="58" xfId="0" applyFont="1" applyFill="1" applyBorder="1" applyAlignment="1">
      <alignment horizontal="left" vertical="top" wrapText="1"/>
    </xf>
    <xf numFmtId="0" fontId="35" fillId="2" borderId="0" xfId="0" applyFont="1" applyFill="1" applyAlignment="1">
      <alignment horizontal="center" vertical="center"/>
    </xf>
    <xf numFmtId="0" fontId="36" fillId="6" borderId="1" xfId="0" applyFont="1" applyFill="1" applyBorder="1" applyAlignment="1">
      <alignment horizontal="left" vertical="top" wrapText="1"/>
    </xf>
    <xf numFmtId="0" fontId="36" fillId="6" borderId="39" xfId="0" applyFont="1" applyFill="1" applyBorder="1" applyAlignment="1">
      <alignment horizontal="left" vertical="top" wrapText="1"/>
    </xf>
    <xf numFmtId="0" fontId="36" fillId="6" borderId="54" xfId="0" applyFont="1" applyFill="1" applyBorder="1" applyAlignment="1" applyProtection="1">
      <alignment horizontal="left" vertical="top" wrapText="1"/>
      <protection locked="0"/>
    </xf>
    <xf numFmtId="0" fontId="36" fillId="6" borderId="53" xfId="0" applyFont="1" applyFill="1" applyBorder="1" applyAlignment="1" applyProtection="1">
      <alignment horizontal="left" vertical="top" wrapText="1"/>
      <protection locked="0"/>
    </xf>
    <xf numFmtId="0" fontId="36" fillId="6" borderId="55" xfId="0" applyFont="1" applyFill="1" applyBorder="1" applyAlignment="1" applyProtection="1">
      <alignment horizontal="left" vertical="top" wrapText="1"/>
      <protection locked="0"/>
    </xf>
    <xf numFmtId="0" fontId="36" fillId="6" borderId="19" xfId="0" applyFont="1" applyFill="1" applyBorder="1" applyAlignment="1" applyProtection="1">
      <alignment horizontal="left" vertical="top" wrapText="1"/>
      <protection locked="0"/>
    </xf>
    <xf numFmtId="0" fontId="36" fillId="6" borderId="56" xfId="0" applyFont="1" applyFill="1" applyBorder="1" applyAlignment="1" applyProtection="1">
      <alignment horizontal="left" vertical="top" wrapText="1"/>
      <protection locked="0"/>
    </xf>
    <xf numFmtId="0" fontId="36" fillId="6" borderId="58" xfId="0" applyFont="1" applyFill="1" applyBorder="1" applyAlignment="1" applyProtection="1">
      <alignment horizontal="left" vertical="top" wrapText="1"/>
      <protection locked="0"/>
    </xf>
    <xf numFmtId="0" fontId="36" fillId="6" borderId="5" xfId="0" applyFont="1" applyFill="1" applyBorder="1" applyAlignment="1" applyProtection="1">
      <alignment horizontal="center" vertical="center" wrapText="1"/>
      <protection locked="0"/>
    </xf>
    <xf numFmtId="0" fontId="36" fillId="6" borderId="45" xfId="0" applyFont="1" applyFill="1" applyBorder="1" applyAlignment="1" applyProtection="1">
      <alignment horizontal="center" vertical="center" wrapText="1"/>
      <protection locked="0"/>
    </xf>
    <xf numFmtId="0" fontId="36" fillId="6" borderId="41" xfId="0" applyFont="1" applyFill="1" applyBorder="1" applyAlignment="1" applyProtection="1">
      <alignment horizontal="center" vertical="center" wrapText="1"/>
      <protection locked="0"/>
    </xf>
    <xf numFmtId="0" fontId="35" fillId="2" borderId="44" xfId="0" applyFont="1" applyFill="1" applyBorder="1" applyAlignment="1">
      <alignment horizontal="left" vertical="center"/>
    </xf>
    <xf numFmtId="0" fontId="35" fillId="2" borderId="46" xfId="0" applyFont="1" applyFill="1" applyBorder="1" applyAlignment="1">
      <alignment horizontal="left" vertical="center"/>
    </xf>
    <xf numFmtId="0" fontId="36" fillId="6" borderId="7" xfId="0" applyFont="1" applyFill="1" applyBorder="1" applyAlignment="1" applyProtection="1">
      <alignment horizontal="center" vertical="center" wrapText="1"/>
      <protection locked="0"/>
    </xf>
    <xf numFmtId="0" fontId="36" fillId="6" borderId="47" xfId="0" applyFont="1" applyFill="1" applyBorder="1" applyAlignment="1" applyProtection="1">
      <alignment horizontal="center" vertical="center" wrapText="1"/>
      <protection locked="0"/>
    </xf>
    <xf numFmtId="0" fontId="36" fillId="6" borderId="5" xfId="0" applyFont="1" applyFill="1" applyBorder="1" applyAlignment="1" applyProtection="1">
      <alignment horizontal="left" vertical="top" wrapText="1"/>
      <protection locked="0"/>
    </xf>
    <xf numFmtId="0" fontId="36" fillId="6" borderId="45" xfId="0" applyFont="1" applyFill="1" applyBorder="1" applyAlignment="1" applyProtection="1">
      <alignment horizontal="left" vertical="top" wrapText="1"/>
      <protection locked="0"/>
    </xf>
    <xf numFmtId="0" fontId="36" fillId="6" borderId="41" xfId="0" applyFont="1" applyFill="1" applyBorder="1" applyAlignment="1" applyProtection="1">
      <alignment horizontal="left" vertical="top" wrapText="1"/>
      <protection locked="0"/>
    </xf>
    <xf numFmtId="0" fontId="35" fillId="2" borderId="1" xfId="0" applyFont="1" applyFill="1" applyBorder="1" applyAlignment="1">
      <alignment horizontal="left" vertical="center"/>
    </xf>
    <xf numFmtId="0" fontId="22" fillId="13" borderId="1" xfId="0" applyFont="1" applyFill="1" applyBorder="1" applyAlignment="1">
      <alignment horizontal="center" vertical="center"/>
    </xf>
    <xf numFmtId="0" fontId="22" fillId="7" borderId="1" xfId="0" applyFont="1" applyFill="1" applyBorder="1" applyAlignment="1">
      <alignment horizontal="center" vertical="center"/>
    </xf>
    <xf numFmtId="0" fontId="22" fillId="11" borderId="1" xfId="0" applyFont="1" applyFill="1" applyBorder="1" applyAlignment="1">
      <alignment horizontal="center" vertical="center"/>
    </xf>
    <xf numFmtId="0" fontId="22" fillId="12" borderId="6" xfId="0" applyFont="1" applyFill="1" applyBorder="1" applyAlignment="1">
      <alignment horizontal="center" vertical="center"/>
    </xf>
    <xf numFmtId="0" fontId="22" fillId="12" borderId="7" xfId="0" applyFont="1" applyFill="1" applyBorder="1" applyAlignment="1">
      <alignment horizontal="center" vertical="center"/>
    </xf>
    <xf numFmtId="43" fontId="22" fillId="11" borderId="6" xfId="0" applyNumberFormat="1" applyFont="1" applyFill="1" applyBorder="1" applyAlignment="1">
      <alignment horizontal="center" vertical="center"/>
    </xf>
    <xf numFmtId="0" fontId="22" fillId="11" borderId="7" xfId="0" applyFont="1" applyFill="1" applyBorder="1" applyAlignment="1">
      <alignment horizontal="center" vertical="center"/>
    </xf>
    <xf numFmtId="0" fontId="22" fillId="11" borderId="8" xfId="0" applyFont="1" applyFill="1" applyBorder="1" applyAlignment="1">
      <alignment horizontal="center" vertical="center"/>
    </xf>
    <xf numFmtId="4" fontId="22" fillId="12" borderId="6" xfId="0" applyNumberFormat="1" applyFont="1" applyFill="1" applyBorder="1" applyAlignment="1">
      <alignment horizontal="center" vertical="center"/>
    </xf>
    <xf numFmtId="4" fontId="22" fillId="12" borderId="7" xfId="0" applyNumberFormat="1" applyFont="1" applyFill="1" applyBorder="1" applyAlignment="1">
      <alignment horizontal="center" vertical="center"/>
    </xf>
    <xf numFmtId="0" fontId="22" fillId="13" borderId="6" xfId="0" applyFont="1" applyFill="1" applyBorder="1" applyAlignment="1">
      <alignment horizontal="center" vertical="center"/>
    </xf>
    <xf numFmtId="0" fontId="22" fillId="13" borderId="7" xfId="0" applyFont="1" applyFill="1" applyBorder="1" applyAlignment="1">
      <alignment horizontal="center" vertical="center"/>
    </xf>
    <xf numFmtId="0" fontId="22" fillId="6" borderId="6" xfId="0" applyFont="1" applyFill="1" applyBorder="1" applyAlignment="1">
      <alignment horizontal="center" vertical="center"/>
    </xf>
    <xf numFmtId="0" fontId="22" fillId="6" borderId="7" xfId="0" applyFont="1" applyFill="1" applyBorder="1" applyAlignment="1">
      <alignment horizontal="center" vertical="center"/>
    </xf>
    <xf numFmtId="0" fontId="22" fillId="6" borderId="8" xfId="0" applyFont="1" applyFill="1" applyBorder="1" applyAlignment="1">
      <alignment horizontal="center" vertical="center"/>
    </xf>
    <xf numFmtId="0" fontId="9" fillId="37" borderId="1" xfId="0" applyFont="1" applyFill="1" applyBorder="1" applyAlignment="1">
      <alignment horizontal="center"/>
    </xf>
    <xf numFmtId="0" fontId="13" fillId="37" borderId="1" xfId="0" applyFont="1" applyFill="1" applyBorder="1" applyAlignment="1">
      <alignment horizontal="center"/>
    </xf>
    <xf numFmtId="4" fontId="22" fillId="6" borderId="6" xfId="0" applyNumberFormat="1" applyFont="1" applyFill="1" applyBorder="1" applyAlignment="1">
      <alignment horizontal="center" vertical="center"/>
    </xf>
    <xf numFmtId="4" fontId="22" fillId="6" borderId="7" xfId="0" applyNumberFormat="1" applyFont="1" applyFill="1" applyBorder="1" applyAlignment="1">
      <alignment horizontal="center" vertical="center"/>
    </xf>
    <xf numFmtId="4" fontId="22" fillId="6" borderId="8" xfId="0" applyNumberFormat="1" applyFont="1" applyFill="1" applyBorder="1" applyAlignment="1">
      <alignment horizontal="center" vertical="center"/>
    </xf>
    <xf numFmtId="0" fontId="16" fillId="5" borderId="0" xfId="0" applyFont="1" applyFill="1" applyAlignment="1">
      <alignment horizontal="left"/>
    </xf>
    <xf numFmtId="0" fontId="16" fillId="0" borderId="12" xfId="0" applyFont="1" applyBorder="1" applyAlignment="1" applyProtection="1">
      <alignment horizontal="left"/>
      <protection locked="0"/>
    </xf>
    <xf numFmtId="0" fontId="16" fillId="4" borderId="11" xfId="0" applyFont="1" applyFill="1" applyBorder="1" applyAlignment="1">
      <alignment horizontal="left" vertical="center" wrapText="1"/>
    </xf>
    <xf numFmtId="0" fontId="16" fillId="4" borderId="33" xfId="0" applyFont="1" applyFill="1" applyBorder="1" applyAlignment="1">
      <alignment horizontal="left" vertical="center" wrapText="1"/>
    </xf>
    <xf numFmtId="0" fontId="16" fillId="4" borderId="13" xfId="0" applyFont="1" applyFill="1" applyBorder="1" applyAlignment="1">
      <alignment horizontal="left" vertical="center" wrapText="1"/>
    </xf>
    <xf numFmtId="0" fontId="24" fillId="35" borderId="5" xfId="0" applyFont="1" applyFill="1" applyBorder="1" applyAlignment="1" applyProtection="1">
      <alignment horizontal="center"/>
      <protection locked="0"/>
    </xf>
    <xf numFmtId="0" fontId="24" fillId="35" borderId="34" xfId="0" applyFont="1" applyFill="1" applyBorder="1" applyAlignment="1" applyProtection="1">
      <alignment horizontal="center"/>
      <protection locked="0"/>
    </xf>
    <xf numFmtId="0" fontId="25" fillId="0" borderId="32" xfId="0" applyFont="1" applyBorder="1" applyAlignment="1" applyProtection="1">
      <alignment horizontal="left" vertical="top" wrapText="1"/>
      <protection locked="0"/>
    </xf>
    <xf numFmtId="0" fontId="14" fillId="37" borderId="1" xfId="0" applyFont="1" applyFill="1" applyBorder="1" applyAlignment="1">
      <alignment horizontal="center" vertical="center" wrapText="1"/>
    </xf>
    <xf numFmtId="9" fontId="15" fillId="8" borderId="1" xfId="1" applyFont="1" applyFill="1" applyBorder="1" applyAlignment="1">
      <alignment horizontal="center" vertical="center"/>
    </xf>
    <xf numFmtId="0" fontId="14" fillId="37" borderId="1" xfId="0" applyFont="1" applyFill="1" applyBorder="1" applyAlignment="1">
      <alignment horizontal="left" vertical="center"/>
    </xf>
    <xf numFmtId="0" fontId="14" fillId="37" borderId="1" xfId="0" applyFont="1" applyFill="1" applyBorder="1" applyAlignment="1">
      <alignment horizontal="left" vertical="center" wrapText="1"/>
    </xf>
    <xf numFmtId="0" fontId="16" fillId="8" borderId="1" xfId="0" applyFont="1" applyFill="1" applyBorder="1" applyAlignment="1">
      <alignment horizontal="center" vertical="center" wrapText="1"/>
    </xf>
    <xf numFmtId="9" fontId="15" fillId="8" borderId="5" xfId="1" applyFont="1" applyFill="1" applyBorder="1" applyAlignment="1">
      <alignment horizontal="center" vertical="center"/>
    </xf>
    <xf numFmtId="9" fontId="15" fillId="8" borderId="34" xfId="1" applyFont="1" applyFill="1" applyBorder="1" applyAlignment="1">
      <alignment horizontal="center" vertical="center"/>
    </xf>
    <xf numFmtId="0" fontId="14" fillId="37" borderId="6" xfId="0" applyFont="1" applyFill="1" applyBorder="1" applyAlignment="1">
      <alignment horizontal="center" vertical="center"/>
    </xf>
    <xf numFmtId="0" fontId="14" fillId="37" borderId="7" xfId="0" applyFont="1" applyFill="1" applyBorder="1" applyAlignment="1">
      <alignment horizontal="center" vertical="center"/>
    </xf>
    <xf numFmtId="0" fontId="14" fillId="37" borderId="8" xfId="0" applyFont="1" applyFill="1" applyBorder="1" applyAlignment="1">
      <alignment horizontal="center" vertical="center"/>
    </xf>
    <xf numFmtId="0" fontId="14" fillId="37" borderId="6" xfId="0" applyFont="1" applyFill="1" applyBorder="1" applyAlignment="1">
      <alignment horizontal="center" vertical="center" wrapText="1"/>
    </xf>
    <xf numFmtId="0" fontId="14" fillId="37" borderId="7" xfId="0" applyFont="1" applyFill="1" applyBorder="1" applyAlignment="1">
      <alignment horizontal="center" vertical="center" wrapText="1"/>
    </xf>
    <xf numFmtId="0" fontId="14" fillId="37" borderId="8" xfId="0" applyFont="1" applyFill="1" applyBorder="1" applyAlignment="1">
      <alignment horizontal="center" vertical="center" wrapText="1"/>
    </xf>
    <xf numFmtId="0" fontId="14" fillId="37" borderId="5" xfId="0" applyFont="1" applyFill="1" applyBorder="1" applyAlignment="1">
      <alignment horizontal="center" vertical="center" wrapText="1"/>
    </xf>
    <xf numFmtId="0" fontId="14" fillId="37" borderId="34" xfId="0" applyFont="1" applyFill="1" applyBorder="1" applyAlignment="1">
      <alignment horizontal="center" vertical="center" wrapText="1"/>
    </xf>
    <xf numFmtId="0" fontId="3" fillId="37" borderId="1" xfId="0" applyFont="1" applyFill="1" applyBorder="1" applyAlignment="1">
      <alignment horizontal="center" vertical="top"/>
    </xf>
  </cellXfs>
  <cellStyles count="14">
    <cellStyle name="Comma" xfId="13" builtinId="3"/>
    <cellStyle name="Excel Built-in 20% - Accent1" xfId="7" xr:uid="{4FE191AE-2934-4DAB-AF5C-F34DAC995DAA}"/>
    <cellStyle name="Excel Built-in 20% - Accent2" xfId="5" xr:uid="{F369C037-EDB8-4EA7-8F6C-51414A511E03}"/>
    <cellStyle name="Excel Built-in 20% - Accent3" xfId="10" xr:uid="{C1C96D9C-3B08-482D-B716-FD150CC78D5F}"/>
    <cellStyle name="Excel Built-in 20% - Accent4" xfId="12" xr:uid="{6A27E571-246A-452C-9BAF-595693215879}"/>
    <cellStyle name="Excel Built-in 20% - Accent6" xfId="4" xr:uid="{B5D78763-8CC6-45E3-9486-7FF6CBA5E14D}"/>
    <cellStyle name="Excel Built-in 40% - Accent1" xfId="6" xr:uid="{32994EA6-B6DE-474F-AAFA-2C90F1BC6EE6}"/>
    <cellStyle name="Excel Built-in 40% - Accent2" xfId="3" xr:uid="{706EEEA2-96F9-43F1-84D6-1D26E645C4D8}"/>
    <cellStyle name="Excel Built-in 40% - Accent3" xfId="9" xr:uid="{E17225AE-BE65-4AC3-9CB4-AABD800EA8C5}"/>
    <cellStyle name="Excel Built-in 40% - Accent4" xfId="11" xr:uid="{35D225C9-6AFD-42D6-8689-ACF0E9782F2E}"/>
    <cellStyle name="Excel Built-in 40% - Accent6" xfId="8" xr:uid="{C371410D-34F8-4C66-A618-8ED7F7089C37}"/>
    <cellStyle name="Normal" xfId="0" builtinId="0"/>
    <cellStyle name="Normal 2" xfId="2" xr:uid="{03FEC266-37EA-4C33-9434-F7526AA015D7}"/>
    <cellStyle name="Percent" xfId="1" builtinId="5"/>
  </cellStyles>
  <dxfs count="17">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92D050"/>
        </patternFill>
      </fill>
    </dxf>
    <dxf>
      <fill>
        <patternFill>
          <bgColor rgb="FFFF0000"/>
        </patternFill>
      </fill>
    </dxf>
    <dxf>
      <fill>
        <patternFill>
          <bgColor rgb="FFFFC000"/>
        </patternFill>
      </fill>
    </dxf>
    <dxf>
      <fill>
        <patternFill>
          <bgColor theme="9"/>
        </patternFill>
      </fill>
    </dxf>
    <dxf>
      <fill>
        <patternFill>
          <bgColor rgb="FFFF0000"/>
        </patternFill>
      </fill>
    </dxf>
  </dxfs>
  <tableStyles count="0" defaultTableStyle="TableStyleMedium2" defaultPivotStyle="PivotStyleLight16"/>
  <colors>
    <mruColors>
      <color rgb="FF004F71"/>
      <color rgb="FF2F75B5"/>
      <color rgb="FF000000"/>
      <color rgb="FFFFFFFF"/>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18" Type="http://schemas.openxmlformats.org/officeDocument/2006/relationships/externalLink" Target="externalLinks/externalLink7.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externalLink" Target="externalLinks/externalLink10.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externalLink" Target="externalLinks/externalLink6.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externalLink" Target="externalLinks/externalLink5.xml"/><Relationship Id="rId20" Type="http://schemas.openxmlformats.org/officeDocument/2006/relationships/externalLink" Target="externalLinks/externalLink9.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externalLink" Target="externalLinks/externalLink4.xml"/><Relationship Id="rId23" Type="http://schemas.openxmlformats.org/officeDocument/2006/relationships/theme" Target="theme/theme1.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externalLink" Target="externalLinks/externalLink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3.xml"/><Relationship Id="rId22" Type="http://schemas.openxmlformats.org/officeDocument/2006/relationships/externalLink" Target="externalLinks/externalLink11.xml"/><Relationship Id="rId27" Type="http://schemas.openxmlformats.org/officeDocument/2006/relationships/customXml" Target="../customXml/item1.xml"/><Relationship Id="rId30" Type="http://schemas.openxmlformats.org/officeDocument/2006/relationships/customXml" Target="../customXml/item4.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3</xdr:row>
      <xdr:rowOff>0</xdr:rowOff>
    </xdr:from>
    <xdr:to>
      <xdr:col>0</xdr:col>
      <xdr:colOff>304800</xdr:colOff>
      <xdr:row>4</xdr:row>
      <xdr:rowOff>142314</xdr:rowOff>
    </xdr:to>
    <xdr:sp macro="" textlink="">
      <xdr:nvSpPr>
        <xdr:cNvPr id="2" name="AutoShape 31" descr="Image result for fab bank logo icon">
          <a:extLst>
            <a:ext uri="{FF2B5EF4-FFF2-40B4-BE49-F238E27FC236}">
              <a16:creationId xmlns:a16="http://schemas.microsoft.com/office/drawing/2014/main" id="{931DD1EA-EEA1-4506-AF56-AF703905C1D6}"/>
            </a:ext>
          </a:extLst>
        </xdr:cNvPr>
        <xdr:cNvSpPr>
          <a:spLocks noChangeAspect="1" noChangeArrowheads="1"/>
        </xdr:cNvSpPr>
      </xdr:nvSpPr>
      <xdr:spPr bwMode="auto">
        <a:xfrm>
          <a:off x="123825" y="6572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eyindia-my.sharepoint.com/Al%20Rajhi/RAM/CORPORATE%20RAM/CORPORATE_RAM%20V1.0.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eyindia-my.sharepoint.com/Users/jasneet.kaur/Documents/Jasneet/Project/CBU/Customer%20Risk%20Rating%20Model%20GB/Sreehari%20Al%20Rajhi/CORPORATE_RAM%20V1.0.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eyindia-my.sharepoint.com/Users/jasneet.kaur/Documents/Jasneet/Project/CBU/Customer%20Risk%20Rating%20Model%20GB/Sreehari%20Al%20Rajhi/Retail%20RAM.xlsm"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file:///C:\Users\sridhar\Downloads\amlsystems\CRAM\NBB%20UAE%20Entity%20CRAM%20v14%20-%20Clean.xlsm" TargetMode="External"/><Relationship Id="rId1" Type="http://schemas.openxmlformats.org/officeDocument/2006/relationships/externalLinkPath" Target="file:///C:\Users\sridhar\Downloads\amlsystems\CRAM\NBB%20UAE%20Entity%20CRAM%20v14%20-%20Clean.xlsm"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people.ey.com/personal/nilesh_trivedi_ae_ey_com/Documents/Documents/Projects/NBB/CRAM/CSME/NBB%20Entity%20CRAM%20v5.xlsm"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eyindia-my.sharepoint.com/Users/jasneet.kaur/Documents/Jasneet/Project/CBU/Entity%20CBI/CBI%20Entity%20CRAM_11March2019%20(002).xlsm"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people.ey.com/Al%20Rajhi/RAM/CORPORATE%20RAM/CORPORATE_RAM%20V1.0.xlsm"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eyindia-my.sharepoint.com/Users/jasneet.kaur/Documents/Jasneet/Project/CBU/Customer%20Risk%20Rating%20Model%20GB/Sreehari%20Al%20Rajhi/Malaysia%20RAM/ARBM/Malaysia%20RAM/Retail%20RAM.xlsm"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s://eyindia-my.sharepoint.com/Users/prasath.kamatchi/ADIB/ADIB%20CRAM/DRAFT_ADIB_Individual_CRAM_V1.xlsm"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eyindia-my.sharepoint.com/Users/jasneet.kaur/Documents/Jasneet/Project/CBU/Customer%20Risk%20Rating%20Model%20GB/Sreehari%20Al%20Rajhi/Malaysia%20RAM/Retail%20RAM_Prototype.xlsx" TargetMode="External"/></Relationships>
</file>

<file path=xl/externalLinks/_rels/externalLink11.xml.rels><?xml version="1.0" encoding="UTF-8" standalone="yes"?>
<Relationships xmlns="http://schemas.openxmlformats.org/package/2006/relationships"><Relationship Id="rId2" Type="http://schemas.openxmlformats.org/officeDocument/2006/relationships/externalLinkPath" Target="file:///C:\Users\sajjad\Desktop\CRA%20BRA%20Templates\CRAM%20Sridhar\Country%20Risk%20Scores\Country%20Risk%20Scores%20-%20Feb%202023%20(version%201).xlsx" TargetMode="External"/><Relationship Id="rId1" Type="http://schemas.openxmlformats.org/officeDocument/2006/relationships/externalLinkPath" Target="file:///C:\Users\sajjad\Desktop\CRA%20BRA%20Templates\CRAM%20Sridhar\Country%20Risk%20Scores\Country%20Risk%20Scores%20-%20Feb%202023%20(version%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nding"/>
      <sheetName val="Risk Calc"/>
      <sheetName val="Sheet1"/>
      <sheetName val="Data"/>
      <sheetName val="NAICS Master"/>
      <sheetName val="Landing Page"/>
      <sheetName val="Sheet3"/>
    </sheetNames>
    <sheetDataSet>
      <sheetData sheetId="0" refreshError="1"/>
      <sheetData sheetId="1" refreshError="1"/>
      <sheetData sheetId="2" refreshError="1"/>
      <sheetData sheetId="3">
        <row r="3">
          <cell r="B3" t="str">
            <v>Afghanistan</v>
          </cell>
        </row>
        <row r="4">
          <cell r="B4" t="str">
            <v>Albania</v>
          </cell>
        </row>
        <row r="5">
          <cell r="B5" t="str">
            <v>Algeria</v>
          </cell>
        </row>
        <row r="6">
          <cell r="B6" t="str">
            <v>Angola</v>
          </cell>
        </row>
        <row r="7">
          <cell r="B7" t="str">
            <v>Argentina</v>
          </cell>
        </row>
        <row r="8">
          <cell r="B8" t="str">
            <v>Armenia</v>
          </cell>
        </row>
        <row r="9">
          <cell r="B9" t="str">
            <v>Australia</v>
          </cell>
        </row>
        <row r="10">
          <cell r="B10" t="str">
            <v>Austria</v>
          </cell>
        </row>
        <row r="11">
          <cell r="B11" t="str">
            <v>Azerbaijan</v>
          </cell>
        </row>
        <row r="12">
          <cell r="B12" t="str">
            <v>Bahamas</v>
          </cell>
        </row>
        <row r="13">
          <cell r="B13" t="str">
            <v>Bahrain</v>
          </cell>
        </row>
        <row r="14">
          <cell r="B14" t="str">
            <v>Bangladesh</v>
          </cell>
        </row>
        <row r="15">
          <cell r="B15" t="str">
            <v>Barbados</v>
          </cell>
        </row>
        <row r="16">
          <cell r="B16" t="str">
            <v>Belarus</v>
          </cell>
        </row>
        <row r="17">
          <cell r="B17" t="str">
            <v>Belgium</v>
          </cell>
        </row>
        <row r="18">
          <cell r="B18" t="str">
            <v>Benin</v>
          </cell>
        </row>
        <row r="19">
          <cell r="B19" t="str">
            <v>Bolivia</v>
          </cell>
        </row>
        <row r="20">
          <cell r="B20" t="str">
            <v>Bosnia and Herzegovina</v>
          </cell>
        </row>
        <row r="21">
          <cell r="B21" t="str">
            <v>Botswana</v>
          </cell>
        </row>
        <row r="22">
          <cell r="B22" t="str">
            <v>Brazil</v>
          </cell>
        </row>
        <row r="23">
          <cell r="B23" t="str">
            <v>Brunei Darussalam</v>
          </cell>
        </row>
        <row r="24">
          <cell r="B24" t="str">
            <v>Bulgaria</v>
          </cell>
        </row>
        <row r="25">
          <cell r="B25" t="str">
            <v>Burkina Faso</v>
          </cell>
        </row>
        <row r="26">
          <cell r="B26" t="str">
            <v>Cambodia</v>
          </cell>
        </row>
        <row r="27">
          <cell r="B27" t="str">
            <v>Canada</v>
          </cell>
        </row>
        <row r="28">
          <cell r="B28" t="str">
            <v>Cape Verde</v>
          </cell>
        </row>
        <row r="29">
          <cell r="B29" t="str">
            <v>Chile</v>
          </cell>
        </row>
        <row r="30">
          <cell r="B30" t="str">
            <v>China</v>
          </cell>
        </row>
        <row r="31">
          <cell r="B31" t="str">
            <v>Colombia</v>
          </cell>
        </row>
        <row r="32">
          <cell r="B32" t="str">
            <v>Comoros</v>
          </cell>
        </row>
        <row r="33">
          <cell r="B33" t="str">
            <v>Costa Rica</v>
          </cell>
        </row>
        <row r="34">
          <cell r="B34" t="str">
            <v>Cote D'ivoire</v>
          </cell>
        </row>
        <row r="35">
          <cell r="B35" t="str">
            <v>Croatia</v>
          </cell>
        </row>
        <row r="36">
          <cell r="B36" t="str">
            <v>Cyprus</v>
          </cell>
        </row>
        <row r="37">
          <cell r="B37" t="str">
            <v>Czech Republic</v>
          </cell>
        </row>
        <row r="38">
          <cell r="B38" t="str">
            <v>Denmark</v>
          </cell>
        </row>
        <row r="39">
          <cell r="B39" t="str">
            <v>Djibouti</v>
          </cell>
        </row>
        <row r="40">
          <cell r="B40" t="str">
            <v>Dominica</v>
          </cell>
        </row>
        <row r="41">
          <cell r="B41" t="str">
            <v>Dominican Republic</v>
          </cell>
        </row>
        <row r="42">
          <cell r="B42" t="str">
            <v>Ecuador</v>
          </cell>
        </row>
        <row r="43">
          <cell r="B43" t="str">
            <v>Egypt</v>
          </cell>
        </row>
        <row r="44">
          <cell r="B44" t="str">
            <v>El Salvador</v>
          </cell>
        </row>
        <row r="45">
          <cell r="B45" t="str">
            <v>Estonia</v>
          </cell>
        </row>
        <row r="46">
          <cell r="B46" t="str">
            <v>Finland</v>
          </cell>
        </row>
        <row r="47">
          <cell r="B47" t="str">
            <v>France</v>
          </cell>
        </row>
        <row r="48">
          <cell r="B48" t="str">
            <v>Gambia, The</v>
          </cell>
        </row>
        <row r="49">
          <cell r="B49" t="str">
            <v>Georgia</v>
          </cell>
        </row>
        <row r="50">
          <cell r="B50" t="str">
            <v>Germany</v>
          </cell>
        </row>
        <row r="51">
          <cell r="B51" t="str">
            <v>Ghana</v>
          </cell>
        </row>
        <row r="52">
          <cell r="B52" t="str">
            <v>Greece</v>
          </cell>
        </row>
        <row r="53">
          <cell r="B53" t="str">
            <v>Grenada</v>
          </cell>
        </row>
        <row r="54">
          <cell r="B54" t="str">
            <v>Guatemala</v>
          </cell>
        </row>
        <row r="55">
          <cell r="B55" t="str">
            <v>Guinea</v>
          </cell>
        </row>
        <row r="56">
          <cell r="B56" t="str">
            <v>Guinea-Bissau</v>
          </cell>
        </row>
        <row r="57">
          <cell r="B57" t="str">
            <v>Guyana</v>
          </cell>
        </row>
        <row r="58">
          <cell r="B58" t="str">
            <v>Haiti</v>
          </cell>
        </row>
        <row r="59">
          <cell r="B59" t="str">
            <v>Honduras</v>
          </cell>
        </row>
        <row r="60">
          <cell r="B60" t="str">
            <v>Hong Kong</v>
          </cell>
        </row>
        <row r="61">
          <cell r="B61" t="str">
            <v>Hungary</v>
          </cell>
        </row>
        <row r="62">
          <cell r="B62" t="str">
            <v>Iceland</v>
          </cell>
        </row>
        <row r="63">
          <cell r="B63" t="str">
            <v>India</v>
          </cell>
        </row>
        <row r="64">
          <cell r="B64" t="str">
            <v>Indonesia</v>
          </cell>
        </row>
        <row r="65">
          <cell r="B65" t="str">
            <v>Iran</v>
          </cell>
        </row>
        <row r="66">
          <cell r="B66" t="str">
            <v>Iraq</v>
          </cell>
        </row>
        <row r="67">
          <cell r="B67" t="str">
            <v>Ireland</v>
          </cell>
        </row>
        <row r="68">
          <cell r="B68" t="str">
            <v>Israel</v>
          </cell>
        </row>
        <row r="69">
          <cell r="B69" t="str">
            <v>Italy</v>
          </cell>
        </row>
        <row r="70">
          <cell r="B70" t="str">
            <v>Jamaica</v>
          </cell>
        </row>
        <row r="71">
          <cell r="B71" t="str">
            <v>Japan</v>
          </cell>
        </row>
        <row r="72">
          <cell r="B72" t="str">
            <v>Jordan</v>
          </cell>
        </row>
        <row r="73">
          <cell r="B73" t="str">
            <v>Kazakhstan</v>
          </cell>
        </row>
        <row r="74">
          <cell r="B74" t="str">
            <v>Kenya</v>
          </cell>
        </row>
        <row r="75">
          <cell r="B75" t="str">
            <v>Kosovo</v>
          </cell>
        </row>
        <row r="76">
          <cell r="B76" t="str">
            <v>Kuwait</v>
          </cell>
        </row>
        <row r="77">
          <cell r="B77" t="str">
            <v>Kyrgyzstan</v>
          </cell>
        </row>
        <row r="78">
          <cell r="B78" t="str">
            <v>Lao People's Democratic Republic</v>
          </cell>
        </row>
        <row r="79">
          <cell r="B79" t="str">
            <v>Latvia</v>
          </cell>
        </row>
        <row r="80">
          <cell r="B80" t="str">
            <v>Lebanon</v>
          </cell>
        </row>
        <row r="81">
          <cell r="B81" t="str">
            <v>Lesotho</v>
          </cell>
        </row>
        <row r="82">
          <cell r="B82" t="str">
            <v>Liberia</v>
          </cell>
        </row>
        <row r="83">
          <cell r="B83" t="str">
            <v>Lithuania</v>
          </cell>
        </row>
        <row r="84">
          <cell r="B84" t="str">
            <v>Luxembourg</v>
          </cell>
        </row>
        <row r="85">
          <cell r="B85" t="str">
            <v>Macedonia</v>
          </cell>
        </row>
        <row r="86">
          <cell r="B86" t="str">
            <v>Malawi</v>
          </cell>
        </row>
        <row r="87">
          <cell r="B87" t="str">
            <v>Malaysia</v>
          </cell>
        </row>
        <row r="88">
          <cell r="B88" t="str">
            <v>Maldives</v>
          </cell>
        </row>
        <row r="89">
          <cell r="B89" t="str">
            <v>Mali</v>
          </cell>
        </row>
        <row r="90">
          <cell r="B90" t="str">
            <v>Malta</v>
          </cell>
        </row>
        <row r="91">
          <cell r="B91" t="str">
            <v>Marshall Islands</v>
          </cell>
        </row>
        <row r="92">
          <cell r="B92" t="str">
            <v>Mauritania</v>
          </cell>
        </row>
        <row r="93">
          <cell r="B93" t="str">
            <v>Mauritius</v>
          </cell>
        </row>
        <row r="94">
          <cell r="B94" t="str">
            <v>Mexico</v>
          </cell>
        </row>
        <row r="95">
          <cell r="B95" t="str">
            <v>Moldova</v>
          </cell>
        </row>
        <row r="96">
          <cell r="B96" t="str">
            <v>Mongolia</v>
          </cell>
        </row>
        <row r="97">
          <cell r="B97" t="str">
            <v>Montenegro</v>
          </cell>
        </row>
        <row r="98">
          <cell r="B98" t="str">
            <v>Morocco</v>
          </cell>
        </row>
        <row r="99">
          <cell r="B99" t="str">
            <v>Mozambique</v>
          </cell>
        </row>
        <row r="100">
          <cell r="B100" t="str">
            <v>Myanmar</v>
          </cell>
        </row>
        <row r="101">
          <cell r="B101" t="str">
            <v>Namibia</v>
          </cell>
        </row>
        <row r="102">
          <cell r="B102" t="str">
            <v>Nepal</v>
          </cell>
        </row>
        <row r="103">
          <cell r="B103" t="str">
            <v>Netherlands</v>
          </cell>
        </row>
        <row r="104">
          <cell r="B104" t="str">
            <v>New Zealand</v>
          </cell>
        </row>
        <row r="105">
          <cell r="B105" t="str">
            <v>Nicaragua</v>
          </cell>
        </row>
        <row r="106">
          <cell r="B106" t="str">
            <v>Niger</v>
          </cell>
        </row>
        <row r="107">
          <cell r="B107" t="str">
            <v>Nigeria</v>
          </cell>
        </row>
        <row r="108">
          <cell r="B108" t="str">
            <v>Norway</v>
          </cell>
        </row>
        <row r="109">
          <cell r="B109" t="str">
            <v>Oman</v>
          </cell>
        </row>
        <row r="110">
          <cell r="B110" t="str">
            <v>Pakistan</v>
          </cell>
        </row>
        <row r="111">
          <cell r="B111" t="str">
            <v>Panama</v>
          </cell>
        </row>
        <row r="112">
          <cell r="B112" t="str">
            <v>Papua New Guinea</v>
          </cell>
        </row>
        <row r="113">
          <cell r="B113" t="str">
            <v>Paraguay</v>
          </cell>
        </row>
        <row r="114">
          <cell r="B114" t="str">
            <v>Peru</v>
          </cell>
        </row>
        <row r="115">
          <cell r="B115" t="str">
            <v>Philippines</v>
          </cell>
        </row>
        <row r="116">
          <cell r="B116" t="str">
            <v>Poland</v>
          </cell>
        </row>
        <row r="117">
          <cell r="B117" t="str">
            <v>Portugal</v>
          </cell>
        </row>
        <row r="118">
          <cell r="B118" t="str">
            <v>Qatar</v>
          </cell>
        </row>
        <row r="119">
          <cell r="B119" t="str">
            <v>Romania</v>
          </cell>
        </row>
        <row r="120">
          <cell r="B120" t="str">
            <v>Russian Federation</v>
          </cell>
        </row>
        <row r="121">
          <cell r="B121" t="str">
            <v>Saint Lucia</v>
          </cell>
        </row>
        <row r="122">
          <cell r="B122" t="str">
            <v>Saint Vincent and The Grenadines</v>
          </cell>
        </row>
        <row r="123">
          <cell r="B123" t="str">
            <v>Samoa</v>
          </cell>
        </row>
        <row r="124">
          <cell r="B124" t="str">
            <v>Sao Tome and Principe</v>
          </cell>
        </row>
        <row r="125">
          <cell r="B125" t="str">
            <v>Saudi Arabia</v>
          </cell>
        </row>
        <row r="126">
          <cell r="B126" t="str">
            <v>Senegal</v>
          </cell>
        </row>
        <row r="127">
          <cell r="B127" t="str">
            <v>Serbia</v>
          </cell>
        </row>
        <row r="128">
          <cell r="B128" t="str">
            <v>Seychelles</v>
          </cell>
        </row>
        <row r="129">
          <cell r="B129" t="str">
            <v>Sierra Leone</v>
          </cell>
        </row>
        <row r="130">
          <cell r="B130" t="str">
            <v>Singapore</v>
          </cell>
        </row>
        <row r="131">
          <cell r="B131" t="str">
            <v>Slovakia</v>
          </cell>
        </row>
        <row r="132">
          <cell r="B132" t="str">
            <v>Slovenia</v>
          </cell>
        </row>
        <row r="133">
          <cell r="B133" t="str">
            <v>South Africa</v>
          </cell>
        </row>
        <row r="134">
          <cell r="B134" t="str">
            <v>South Korea</v>
          </cell>
        </row>
        <row r="135">
          <cell r="B135" t="str">
            <v>Spain</v>
          </cell>
        </row>
        <row r="136">
          <cell r="B136" t="str">
            <v>Sri Lanka</v>
          </cell>
        </row>
        <row r="137">
          <cell r="B137" t="str">
            <v>Sudan</v>
          </cell>
        </row>
        <row r="138">
          <cell r="B138" t="str">
            <v>Suriname</v>
          </cell>
        </row>
        <row r="139">
          <cell r="B139" t="str">
            <v>Swaziland</v>
          </cell>
        </row>
        <row r="140">
          <cell r="B140" t="str">
            <v>Sweden</v>
          </cell>
        </row>
        <row r="141">
          <cell r="B141" t="str">
            <v>Switzerland</v>
          </cell>
        </row>
        <row r="142">
          <cell r="B142" t="str">
            <v>Syrian Arab Republic</v>
          </cell>
        </row>
        <row r="143">
          <cell r="B143" t="str">
            <v>Taiwan</v>
          </cell>
        </row>
        <row r="144">
          <cell r="B144" t="str">
            <v>Tajikistan</v>
          </cell>
        </row>
        <row r="145">
          <cell r="B145" t="str">
            <v>Tanzania</v>
          </cell>
        </row>
        <row r="146">
          <cell r="B146" t="str">
            <v>Thailand</v>
          </cell>
        </row>
        <row r="147">
          <cell r="B147" t="str">
            <v>Timor-Leste</v>
          </cell>
        </row>
        <row r="148">
          <cell r="B148" t="str">
            <v>Togo</v>
          </cell>
        </row>
        <row r="149">
          <cell r="B149" t="str">
            <v>Trinidad and Tobago</v>
          </cell>
        </row>
        <row r="150">
          <cell r="B150" t="str">
            <v>Tunisia</v>
          </cell>
        </row>
        <row r="151">
          <cell r="B151" t="str">
            <v>Turkey</v>
          </cell>
        </row>
        <row r="152">
          <cell r="B152" t="str">
            <v>Uganda</v>
          </cell>
        </row>
        <row r="153">
          <cell r="B153" t="str">
            <v>Ukraine</v>
          </cell>
        </row>
        <row r="154">
          <cell r="B154" t="str">
            <v>United Arab Emirates</v>
          </cell>
        </row>
        <row r="155">
          <cell r="B155" t="str">
            <v>United Kingdom</v>
          </cell>
        </row>
        <row r="156">
          <cell r="B156" t="str">
            <v>United States</v>
          </cell>
        </row>
        <row r="157">
          <cell r="B157" t="str">
            <v>Uruguay</v>
          </cell>
        </row>
        <row r="158">
          <cell r="B158" t="str">
            <v>Uzbekistan</v>
          </cell>
        </row>
        <row r="159">
          <cell r="B159" t="str">
            <v>Vanuatu</v>
          </cell>
        </row>
        <row r="160">
          <cell r="B160" t="str">
            <v>Venezuela</v>
          </cell>
        </row>
        <row r="161">
          <cell r="B161" t="str">
            <v>Viet Nam</v>
          </cell>
        </row>
        <row r="162">
          <cell r="B162" t="str">
            <v>Yemen</v>
          </cell>
        </row>
        <row r="163">
          <cell r="B163" t="str">
            <v>Zambia</v>
          </cell>
        </row>
        <row r="164">
          <cell r="B164" t="str">
            <v>Zimbabwe</v>
          </cell>
        </row>
      </sheetData>
      <sheetData sheetId="4" refreshError="1"/>
      <sheetData sheetId="5" refreshError="1"/>
      <sheetData sheetId="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nding"/>
      <sheetName val="Risk Calc"/>
      <sheetName val="Sheet1"/>
      <sheetName val="Data"/>
      <sheetName val="NAICS Master"/>
    </sheetNames>
    <sheetDataSet>
      <sheetData sheetId="0"/>
      <sheetData sheetId="1"/>
      <sheetData sheetId="2"/>
      <sheetData sheetId="3">
        <row r="3">
          <cell r="B3" t="str">
            <v>Afghanistan</v>
          </cell>
        </row>
        <row r="4">
          <cell r="B4" t="str">
            <v>Albania</v>
          </cell>
        </row>
        <row r="5">
          <cell r="B5" t="str">
            <v>Algeria</v>
          </cell>
        </row>
        <row r="6">
          <cell r="B6" t="str">
            <v>Angola</v>
          </cell>
        </row>
        <row r="7">
          <cell r="B7" t="str">
            <v>Argentina</v>
          </cell>
        </row>
        <row r="8">
          <cell r="B8" t="str">
            <v>Armenia</v>
          </cell>
        </row>
        <row r="9">
          <cell r="B9" t="str">
            <v>Australia</v>
          </cell>
        </row>
        <row r="10">
          <cell r="B10" t="str">
            <v>Austria</v>
          </cell>
        </row>
        <row r="11">
          <cell r="B11" t="str">
            <v>Azerbaijan</v>
          </cell>
        </row>
        <row r="12">
          <cell r="B12" t="str">
            <v>Bahamas</v>
          </cell>
        </row>
        <row r="13">
          <cell r="B13" t="str">
            <v>Bahrain</v>
          </cell>
        </row>
        <row r="14">
          <cell r="B14" t="str">
            <v>Bangladesh</v>
          </cell>
        </row>
        <row r="15">
          <cell r="B15" t="str">
            <v>Barbados</v>
          </cell>
        </row>
        <row r="16">
          <cell r="B16" t="str">
            <v>Belarus</v>
          </cell>
        </row>
        <row r="17">
          <cell r="B17" t="str">
            <v>Belgium</v>
          </cell>
        </row>
        <row r="18">
          <cell r="B18" t="str">
            <v>Benin</v>
          </cell>
        </row>
        <row r="19">
          <cell r="B19" t="str">
            <v>Bolivia</v>
          </cell>
        </row>
        <row r="20">
          <cell r="B20" t="str">
            <v>Bosnia and Herzegovina</v>
          </cell>
        </row>
        <row r="21">
          <cell r="B21" t="str">
            <v>Botswana</v>
          </cell>
        </row>
        <row r="22">
          <cell r="B22" t="str">
            <v>Brazil</v>
          </cell>
        </row>
        <row r="23">
          <cell r="B23" t="str">
            <v>Brunei Darussalam</v>
          </cell>
        </row>
        <row r="24">
          <cell r="B24" t="str">
            <v>Bulgaria</v>
          </cell>
        </row>
        <row r="25">
          <cell r="B25" t="str">
            <v>Burkina Faso</v>
          </cell>
        </row>
        <row r="26">
          <cell r="B26" t="str">
            <v>Cambodia</v>
          </cell>
        </row>
        <row r="27">
          <cell r="B27" t="str">
            <v>Canada</v>
          </cell>
        </row>
        <row r="28">
          <cell r="B28" t="str">
            <v>Cape Verde</v>
          </cell>
        </row>
        <row r="29">
          <cell r="B29" t="str">
            <v>Chile</v>
          </cell>
        </row>
        <row r="30">
          <cell r="B30" t="str">
            <v>China</v>
          </cell>
        </row>
        <row r="31">
          <cell r="B31" t="str">
            <v>Colombia</v>
          </cell>
        </row>
        <row r="32">
          <cell r="B32" t="str">
            <v>Comoros</v>
          </cell>
        </row>
        <row r="33">
          <cell r="B33" t="str">
            <v>Costa Rica</v>
          </cell>
        </row>
        <row r="34">
          <cell r="B34" t="str">
            <v>Cote D'ivoire</v>
          </cell>
        </row>
        <row r="35">
          <cell r="B35" t="str">
            <v>Croatia</v>
          </cell>
        </row>
        <row r="36">
          <cell r="B36" t="str">
            <v>Cyprus</v>
          </cell>
        </row>
        <row r="37">
          <cell r="B37" t="str">
            <v>Czech Republic</v>
          </cell>
        </row>
        <row r="38">
          <cell r="B38" t="str">
            <v>Denmark</v>
          </cell>
        </row>
        <row r="39">
          <cell r="B39" t="str">
            <v>Djibouti</v>
          </cell>
        </row>
        <row r="40">
          <cell r="B40" t="str">
            <v>Dominica</v>
          </cell>
        </row>
        <row r="41">
          <cell r="B41" t="str">
            <v>Dominican Republic</v>
          </cell>
        </row>
        <row r="42">
          <cell r="B42" t="str">
            <v>Ecuador</v>
          </cell>
        </row>
        <row r="43">
          <cell r="B43" t="str">
            <v>Egypt</v>
          </cell>
        </row>
        <row r="44">
          <cell r="B44" t="str">
            <v>El Salvador</v>
          </cell>
        </row>
        <row r="45">
          <cell r="B45" t="str">
            <v>Estonia</v>
          </cell>
        </row>
        <row r="46">
          <cell r="B46" t="str">
            <v>Finland</v>
          </cell>
        </row>
        <row r="47">
          <cell r="B47" t="str">
            <v>France</v>
          </cell>
        </row>
        <row r="48">
          <cell r="B48" t="str">
            <v>Gambia, The</v>
          </cell>
        </row>
        <row r="49">
          <cell r="B49" t="str">
            <v>Georgia</v>
          </cell>
        </row>
        <row r="50">
          <cell r="B50" t="str">
            <v>Germany</v>
          </cell>
        </row>
        <row r="51">
          <cell r="B51" t="str">
            <v>Ghana</v>
          </cell>
        </row>
        <row r="52">
          <cell r="B52" t="str">
            <v>Greece</v>
          </cell>
        </row>
        <row r="53">
          <cell r="B53" t="str">
            <v>Grenada</v>
          </cell>
        </row>
        <row r="54">
          <cell r="B54" t="str">
            <v>Guatemala</v>
          </cell>
        </row>
        <row r="55">
          <cell r="B55" t="str">
            <v>Guinea</v>
          </cell>
        </row>
        <row r="56">
          <cell r="B56" t="str">
            <v>Guinea-Bissau</v>
          </cell>
        </row>
        <row r="57">
          <cell r="B57" t="str">
            <v>Guyana</v>
          </cell>
        </row>
        <row r="58">
          <cell r="B58" t="str">
            <v>Haiti</v>
          </cell>
        </row>
        <row r="59">
          <cell r="B59" t="str">
            <v>Honduras</v>
          </cell>
        </row>
        <row r="60">
          <cell r="B60" t="str">
            <v>Hong Kong</v>
          </cell>
        </row>
        <row r="61">
          <cell r="B61" t="str">
            <v>Hungary</v>
          </cell>
        </row>
        <row r="62">
          <cell r="B62" t="str">
            <v>Iceland</v>
          </cell>
        </row>
        <row r="63">
          <cell r="B63" t="str">
            <v>India</v>
          </cell>
        </row>
        <row r="64">
          <cell r="B64" t="str">
            <v>Indonesia</v>
          </cell>
        </row>
        <row r="65">
          <cell r="B65" t="str">
            <v>Iran</v>
          </cell>
        </row>
        <row r="66">
          <cell r="B66" t="str">
            <v>Iraq</v>
          </cell>
        </row>
        <row r="67">
          <cell r="B67" t="str">
            <v>Ireland</v>
          </cell>
        </row>
        <row r="68">
          <cell r="B68" t="str">
            <v>Israel</v>
          </cell>
        </row>
        <row r="69">
          <cell r="B69" t="str">
            <v>Italy</v>
          </cell>
        </row>
        <row r="70">
          <cell r="B70" t="str">
            <v>Jamaica</v>
          </cell>
        </row>
        <row r="71">
          <cell r="B71" t="str">
            <v>Japan</v>
          </cell>
        </row>
        <row r="72">
          <cell r="B72" t="str">
            <v>Jordan</v>
          </cell>
        </row>
        <row r="73">
          <cell r="B73" t="str">
            <v>Kazakhstan</v>
          </cell>
        </row>
        <row r="74">
          <cell r="B74" t="str">
            <v>Kenya</v>
          </cell>
        </row>
        <row r="75">
          <cell r="B75" t="str">
            <v>Kosovo</v>
          </cell>
        </row>
        <row r="76">
          <cell r="B76" t="str">
            <v>Kuwait</v>
          </cell>
        </row>
        <row r="77">
          <cell r="B77" t="str">
            <v>Kyrgyzstan</v>
          </cell>
        </row>
        <row r="78">
          <cell r="B78" t="str">
            <v>Lao People's Democratic Republic</v>
          </cell>
        </row>
        <row r="79">
          <cell r="B79" t="str">
            <v>Latvia</v>
          </cell>
        </row>
        <row r="80">
          <cell r="B80" t="str">
            <v>Lebanon</v>
          </cell>
        </row>
        <row r="81">
          <cell r="B81" t="str">
            <v>Lesotho</v>
          </cell>
        </row>
        <row r="82">
          <cell r="B82" t="str">
            <v>Liberia</v>
          </cell>
        </row>
        <row r="83">
          <cell r="B83" t="str">
            <v>Lithuania</v>
          </cell>
        </row>
        <row r="84">
          <cell r="B84" t="str">
            <v>Luxembourg</v>
          </cell>
        </row>
        <row r="85">
          <cell r="B85" t="str">
            <v>Macedonia</v>
          </cell>
        </row>
        <row r="86">
          <cell r="B86" t="str">
            <v>Malawi</v>
          </cell>
        </row>
        <row r="87">
          <cell r="B87" t="str">
            <v>Malaysia</v>
          </cell>
        </row>
        <row r="88">
          <cell r="B88" t="str">
            <v>Maldives</v>
          </cell>
        </row>
        <row r="89">
          <cell r="B89" t="str">
            <v>Mali</v>
          </cell>
        </row>
        <row r="90">
          <cell r="B90" t="str">
            <v>Malta</v>
          </cell>
        </row>
        <row r="91">
          <cell r="B91" t="str">
            <v>Marshall Islands</v>
          </cell>
        </row>
        <row r="92">
          <cell r="B92" t="str">
            <v>Mauritania</v>
          </cell>
        </row>
        <row r="93">
          <cell r="B93" t="str">
            <v>Mauritius</v>
          </cell>
        </row>
        <row r="94">
          <cell r="B94" t="str">
            <v>Mexico</v>
          </cell>
        </row>
        <row r="95">
          <cell r="B95" t="str">
            <v>Moldova</v>
          </cell>
        </row>
        <row r="96">
          <cell r="B96" t="str">
            <v>Mongolia</v>
          </cell>
        </row>
        <row r="97">
          <cell r="B97" t="str">
            <v>Montenegro</v>
          </cell>
        </row>
        <row r="98">
          <cell r="B98" t="str">
            <v>Morocco</v>
          </cell>
        </row>
        <row r="99">
          <cell r="B99" t="str">
            <v>Mozambique</v>
          </cell>
        </row>
        <row r="100">
          <cell r="B100" t="str">
            <v>Myanmar</v>
          </cell>
        </row>
        <row r="101">
          <cell r="B101" t="str">
            <v>Namibia</v>
          </cell>
        </row>
        <row r="102">
          <cell r="B102" t="str">
            <v>Nepal</v>
          </cell>
        </row>
        <row r="103">
          <cell r="B103" t="str">
            <v>Netherlands</v>
          </cell>
        </row>
        <row r="104">
          <cell r="B104" t="str">
            <v>New Zealand</v>
          </cell>
        </row>
        <row r="105">
          <cell r="B105" t="str">
            <v>Nicaragua</v>
          </cell>
        </row>
        <row r="106">
          <cell r="B106" t="str">
            <v>Niger</v>
          </cell>
        </row>
        <row r="107">
          <cell r="B107" t="str">
            <v>Nigeria</v>
          </cell>
        </row>
        <row r="108">
          <cell r="B108" t="str">
            <v>Norway</v>
          </cell>
        </row>
        <row r="109">
          <cell r="B109" t="str">
            <v>Oman</v>
          </cell>
        </row>
        <row r="110">
          <cell r="B110" t="str">
            <v>Pakistan</v>
          </cell>
        </row>
        <row r="111">
          <cell r="B111" t="str">
            <v>Panama</v>
          </cell>
        </row>
        <row r="112">
          <cell r="B112" t="str">
            <v>Papua New Guinea</v>
          </cell>
        </row>
        <row r="113">
          <cell r="B113" t="str">
            <v>Paraguay</v>
          </cell>
        </row>
        <row r="114">
          <cell r="B114" t="str">
            <v>Peru</v>
          </cell>
        </row>
        <row r="115">
          <cell r="B115" t="str">
            <v>Philippines</v>
          </cell>
        </row>
        <row r="116">
          <cell r="B116" t="str">
            <v>Poland</v>
          </cell>
        </row>
        <row r="117">
          <cell r="B117" t="str">
            <v>Portugal</v>
          </cell>
        </row>
        <row r="118">
          <cell r="B118" t="str">
            <v>Qatar</v>
          </cell>
        </row>
        <row r="119">
          <cell r="B119" t="str">
            <v>Romania</v>
          </cell>
        </row>
        <row r="120">
          <cell r="B120" t="str">
            <v>Russian Federation</v>
          </cell>
        </row>
        <row r="121">
          <cell r="B121" t="str">
            <v>Saint Lucia</v>
          </cell>
        </row>
        <row r="122">
          <cell r="B122" t="str">
            <v>Saint Vincent and The Grenadines</v>
          </cell>
        </row>
        <row r="123">
          <cell r="B123" t="str">
            <v>Samoa</v>
          </cell>
        </row>
        <row r="124">
          <cell r="B124" t="str">
            <v>Sao Tome and Principe</v>
          </cell>
        </row>
        <row r="125">
          <cell r="B125" t="str">
            <v>Saudi Arabia</v>
          </cell>
        </row>
        <row r="126">
          <cell r="B126" t="str">
            <v>Senegal</v>
          </cell>
        </row>
        <row r="127">
          <cell r="B127" t="str">
            <v>Serbia</v>
          </cell>
        </row>
        <row r="128">
          <cell r="B128" t="str">
            <v>Seychelles</v>
          </cell>
        </row>
        <row r="129">
          <cell r="B129" t="str">
            <v>Sierra Leone</v>
          </cell>
        </row>
        <row r="130">
          <cell r="B130" t="str">
            <v>Singapore</v>
          </cell>
        </row>
        <row r="131">
          <cell r="B131" t="str">
            <v>Slovakia</v>
          </cell>
        </row>
        <row r="132">
          <cell r="B132" t="str">
            <v>Slovenia</v>
          </cell>
        </row>
        <row r="133">
          <cell r="B133" t="str">
            <v>South Africa</v>
          </cell>
        </row>
        <row r="134">
          <cell r="B134" t="str">
            <v>South Korea</v>
          </cell>
        </row>
        <row r="135">
          <cell r="B135" t="str">
            <v>Spain</v>
          </cell>
        </row>
        <row r="136">
          <cell r="B136" t="str">
            <v>Sri Lanka</v>
          </cell>
        </row>
        <row r="137">
          <cell r="B137" t="str">
            <v>Sudan</v>
          </cell>
        </row>
        <row r="138">
          <cell r="B138" t="str">
            <v>Suriname</v>
          </cell>
        </row>
        <row r="139">
          <cell r="B139" t="str">
            <v>Swaziland</v>
          </cell>
        </row>
        <row r="140">
          <cell r="B140" t="str">
            <v>Sweden</v>
          </cell>
        </row>
        <row r="141">
          <cell r="B141" t="str">
            <v>Switzerland</v>
          </cell>
        </row>
        <row r="142">
          <cell r="B142" t="str">
            <v>Syrian Arab Republic</v>
          </cell>
        </row>
        <row r="143">
          <cell r="B143" t="str">
            <v>Taiwan</v>
          </cell>
        </row>
        <row r="144">
          <cell r="B144" t="str">
            <v>Tajikistan</v>
          </cell>
        </row>
        <row r="145">
          <cell r="B145" t="str">
            <v>Tanzania</v>
          </cell>
        </row>
        <row r="146">
          <cell r="B146" t="str">
            <v>Thailand</v>
          </cell>
        </row>
        <row r="147">
          <cell r="B147" t="str">
            <v>Timor-Leste</v>
          </cell>
        </row>
        <row r="148">
          <cell r="B148" t="str">
            <v>Togo</v>
          </cell>
        </row>
        <row r="149">
          <cell r="B149" t="str">
            <v>Trinidad and Tobago</v>
          </cell>
        </row>
        <row r="150">
          <cell r="B150" t="str">
            <v>Tunisia</v>
          </cell>
        </row>
        <row r="151">
          <cell r="B151" t="str">
            <v>Turkey</v>
          </cell>
        </row>
        <row r="152">
          <cell r="B152" t="str">
            <v>Uganda</v>
          </cell>
        </row>
        <row r="153">
          <cell r="B153" t="str">
            <v>Ukraine</v>
          </cell>
        </row>
        <row r="154">
          <cell r="B154" t="str">
            <v>United Arab Emirates</v>
          </cell>
        </row>
        <row r="155">
          <cell r="B155" t="str">
            <v>United Kingdom</v>
          </cell>
        </row>
        <row r="156">
          <cell r="B156" t="str">
            <v>United States</v>
          </cell>
        </row>
        <row r="157">
          <cell r="B157" t="str">
            <v>Uruguay</v>
          </cell>
        </row>
        <row r="158">
          <cell r="B158" t="str">
            <v>Uzbekistan</v>
          </cell>
        </row>
        <row r="159">
          <cell r="B159" t="str">
            <v>Vanuatu</v>
          </cell>
        </row>
        <row r="160">
          <cell r="B160" t="str">
            <v>Venezuela</v>
          </cell>
        </row>
        <row r="161">
          <cell r="B161" t="str">
            <v>Viet Nam</v>
          </cell>
        </row>
        <row r="162">
          <cell r="B162" t="str">
            <v>Yemen</v>
          </cell>
        </row>
        <row r="163">
          <cell r="B163" t="str">
            <v>Zambia</v>
          </cell>
        </row>
        <row r="164">
          <cell r="B164" t="str">
            <v>Zimbabwe</v>
          </cell>
        </row>
      </sheetData>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duction Page"/>
      <sheetName val="User Page"/>
      <sheetName val="Admin Page"/>
      <sheetName val="Landing Page(OLD)"/>
      <sheetName val="Landing Page"/>
      <sheetName val="Bulk data"/>
      <sheetName val="Master sheet"/>
      <sheetName val="High Risk"/>
      <sheetName val="Medium Risk"/>
      <sheetName val="Low Risk"/>
      <sheetName val="Rejected"/>
      <sheetName val="Graph"/>
      <sheetName val="Confusion Matrix"/>
      <sheetName val="DATA"/>
      <sheetName val="Sector"/>
      <sheetName val="Calcul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sheetName val="Landing Page"/>
      <sheetName val="Calculation"/>
      <sheetName val="Customer Type Risk"/>
      <sheetName val="Customer Type"/>
      <sheetName val="Geography Risk"/>
      <sheetName val="Landing Page_old"/>
      <sheetName val="Country Risk"/>
      <sheetName val="Products and Services Risk"/>
      <sheetName val="Product &amp; Service Risk"/>
      <sheetName val="Channel &amp; Interface Risk"/>
      <sheetName val="Channel - Interface Risk"/>
      <sheetName val="Transaction Investigation Risk"/>
      <sheetName val="Transaction Type Risk"/>
      <sheetName val="Transaction Trend Risk"/>
      <sheetName val="Scenario Risk"/>
      <sheetName val="P&amp;S input"/>
      <sheetName val="Industry_prohibited"/>
    </sheetNames>
    <sheetDataSet>
      <sheetData sheetId="0" refreshError="1"/>
      <sheetData sheetId="1">
        <row r="68">
          <cell r="F68">
            <v>0</v>
          </cell>
        </row>
      </sheetData>
      <sheetData sheetId="2">
        <row r="2">
          <cell r="G2">
            <v>30</v>
          </cell>
        </row>
        <row r="11">
          <cell r="G11">
            <v>25</v>
          </cell>
        </row>
        <row r="16">
          <cell r="G16">
            <v>20</v>
          </cell>
        </row>
        <row r="20">
          <cell r="G20">
            <v>10</v>
          </cell>
        </row>
        <row r="28">
          <cell r="G28">
            <v>15</v>
          </cell>
        </row>
      </sheetData>
      <sheetData sheetId="3" refreshError="1"/>
      <sheetData sheetId="4">
        <row r="60">
          <cell r="C60" t="str">
            <v>Up To AED 5 million</v>
          </cell>
        </row>
        <row r="61">
          <cell r="C61" t="str">
            <v>AED 5 million to AED 15 million</v>
          </cell>
        </row>
        <row r="62">
          <cell r="C62" t="str">
            <v>Above AED 15 million</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Landing Page"/>
      <sheetName val="Calculation"/>
      <sheetName val="Customer Type"/>
      <sheetName val="Customer Type Risk"/>
      <sheetName val="Geography Risk"/>
      <sheetName val="Landing Page_old"/>
      <sheetName val="Country Risk"/>
      <sheetName val="Products and Services Risk"/>
      <sheetName val="Product &amp; Service Risk"/>
      <sheetName val="Channel &amp; Interface Risk"/>
      <sheetName val="Channel - Interface Risk"/>
      <sheetName val="Transaction Investigation Risk"/>
      <sheetName val="Transaction Type Risk"/>
      <sheetName val="Transaction Trend Risk"/>
      <sheetName val="Scenario Risk"/>
      <sheetName val="P&amp;S input"/>
      <sheetName val="Industry_prohibited"/>
    </sheetNames>
    <sheetDataSet>
      <sheetData sheetId="0" refreshError="1"/>
      <sheetData sheetId="1"/>
      <sheetData sheetId="2">
        <row r="2">
          <cell r="G2">
            <v>30</v>
          </cell>
        </row>
        <row r="11">
          <cell r="G11">
            <v>25</v>
          </cell>
        </row>
        <row r="16">
          <cell r="G16">
            <v>20</v>
          </cell>
        </row>
        <row r="20">
          <cell r="G20">
            <v>10</v>
          </cell>
        </row>
        <row r="28">
          <cell r="G28">
            <v>15</v>
          </cell>
        </row>
      </sheetData>
      <sheetData sheetId="3">
        <row r="60">
          <cell r="C60" t="str">
            <v>Upto BHD 500,000</v>
          </cell>
        </row>
        <row r="61">
          <cell r="C61" t="str">
            <v>BHD 500,000 to BHD 1,5 million</v>
          </cell>
        </row>
        <row r="62">
          <cell r="C62" t="str">
            <v>Above BHD 1,5 million</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Landing Page"/>
      <sheetName val="Landing Page_old"/>
      <sheetName val="Calculation"/>
      <sheetName val="Customer Type"/>
      <sheetName val="Country Risk"/>
      <sheetName val="Industry Risk"/>
      <sheetName val="Products and Services Risk"/>
      <sheetName val="Channel &amp; Interface Risk"/>
      <sheetName val="P&amp;S input"/>
      <sheetName val="Industry_prohibited"/>
    </sheetNames>
    <sheetDataSet>
      <sheetData sheetId="0" refreshError="1"/>
      <sheetData sheetId="1">
        <row r="21">
          <cell r="E21" t="str">
            <v>Not Applicable</v>
          </cell>
        </row>
        <row r="22">
          <cell r="E22" t="str">
            <v>Not Applicable</v>
          </cell>
        </row>
        <row r="23">
          <cell r="E23" t="str">
            <v>Not Applicable</v>
          </cell>
        </row>
        <row r="25">
          <cell r="E25" t="str">
            <v>Not Applicable</v>
          </cell>
        </row>
        <row r="26">
          <cell r="E26" t="str">
            <v>Not Applicable</v>
          </cell>
        </row>
        <row r="27">
          <cell r="E27" t="str">
            <v>Not Applicable</v>
          </cell>
        </row>
        <row r="29">
          <cell r="E29" t="str">
            <v>Not Applicable</v>
          </cell>
        </row>
        <row r="30">
          <cell r="E30" t="str">
            <v>Not Applicable</v>
          </cell>
        </row>
        <row r="31">
          <cell r="E31" t="str">
            <v>Not Applicable</v>
          </cell>
        </row>
        <row r="63">
          <cell r="C63" t="str">
            <v>Not Applicable</v>
          </cell>
          <cell r="F63" t="str">
            <v>Not Applicable</v>
          </cell>
        </row>
        <row r="64">
          <cell r="C64" t="str">
            <v>Not Applicable</v>
          </cell>
          <cell r="F64" t="str">
            <v>Not Applicable</v>
          </cell>
        </row>
        <row r="65">
          <cell r="C65" t="str">
            <v>Not Applicable</v>
          </cell>
          <cell r="F65" t="str">
            <v>Not Applicable</v>
          </cell>
        </row>
        <row r="66">
          <cell r="C66" t="str">
            <v>Not Applicable</v>
          </cell>
          <cell r="F66" t="str">
            <v>Not Applicable</v>
          </cell>
        </row>
      </sheetData>
      <sheetData sheetId="2" refreshError="1"/>
      <sheetData sheetId="3">
        <row r="2">
          <cell r="B2">
            <v>2</v>
          </cell>
        </row>
        <row r="3">
          <cell r="B3">
            <v>3</v>
          </cell>
        </row>
        <row r="4">
          <cell r="B4">
            <v>1</v>
          </cell>
        </row>
        <row r="5">
          <cell r="B5">
            <v>1.7000000000000002</v>
          </cell>
        </row>
        <row r="6">
          <cell r="B6">
            <v>1</v>
          </cell>
        </row>
        <row r="7">
          <cell r="B7">
            <v>2</v>
          </cell>
        </row>
        <row r="8">
          <cell r="B8">
            <v>2.6999999999999997</v>
          </cell>
        </row>
        <row r="9">
          <cell r="B9">
            <v>1.7000000000000002</v>
          </cell>
        </row>
        <row r="10">
          <cell r="B10">
            <v>1.5</v>
          </cell>
        </row>
        <row r="11">
          <cell r="B11">
            <v>1.7000000000000002</v>
          </cell>
        </row>
        <row r="12">
          <cell r="B12">
            <v>1.7000000000000002</v>
          </cell>
        </row>
        <row r="13">
          <cell r="B13">
            <v>3</v>
          </cell>
        </row>
        <row r="18">
          <cell r="B18">
            <v>3</v>
          </cell>
        </row>
        <row r="19">
          <cell r="B19">
            <v>3</v>
          </cell>
        </row>
      </sheetData>
      <sheetData sheetId="4" refreshError="1"/>
      <sheetData sheetId="5" refreshError="1"/>
      <sheetData sheetId="6" refreshError="1"/>
      <sheetData sheetId="7">
        <row r="11">
          <cell r="B11" t="str">
            <v>Advanced Arrears Swap</v>
          </cell>
          <cell r="C11">
            <v>2.0000000000000004</v>
          </cell>
        </row>
        <row r="12">
          <cell r="B12" t="str">
            <v>AED denominated Current Account</v>
          </cell>
          <cell r="C12">
            <v>2.6000000000000005</v>
          </cell>
        </row>
        <row r="13">
          <cell r="B13" t="str">
            <v>AED denominated Saving Account</v>
          </cell>
          <cell r="C13">
            <v>2.6000000000000005</v>
          </cell>
        </row>
        <row r="14">
          <cell r="B14" t="str">
            <v xml:space="preserve">Average Rate Options (Asian Options) </v>
          </cell>
          <cell r="C14">
            <v>2.0000000000000004</v>
          </cell>
        </row>
        <row r="15">
          <cell r="B15" t="str">
            <v xml:space="preserve">Average Strike Option </v>
          </cell>
          <cell r="C15">
            <v>2.0000000000000004</v>
          </cell>
        </row>
        <row r="16">
          <cell r="B16" t="str">
            <v xml:space="preserve">Barrier Options </v>
          </cell>
          <cell r="C16">
            <v>2.0000000000000004</v>
          </cell>
        </row>
        <row r="17">
          <cell r="B17" t="str">
            <v>Cancelable Swap</v>
          </cell>
          <cell r="C17">
            <v>2.0000000000000004</v>
          </cell>
        </row>
        <row r="18">
          <cell r="B18" t="str">
            <v>Capped Swap</v>
          </cell>
          <cell r="C18">
            <v>2.0000000000000004</v>
          </cell>
        </row>
        <row r="19">
          <cell r="B19" t="str">
            <v xml:space="preserve">Card: Debit </v>
          </cell>
          <cell r="C19">
            <v>2.8000000000000007</v>
          </cell>
        </row>
        <row r="20">
          <cell r="B20" t="str">
            <v xml:space="preserve">Cash and Cheque Collection/ Delivery </v>
          </cell>
          <cell r="C20">
            <v>2.5</v>
          </cell>
        </row>
        <row r="21">
          <cell r="B21" t="str">
            <v>Cash Management</v>
          </cell>
          <cell r="C21">
            <v>2.0000000000000004</v>
          </cell>
        </row>
        <row r="22">
          <cell r="B22" t="str">
            <v xml:space="preserve">Chooser Options </v>
          </cell>
          <cell r="C22">
            <v>2.0000000000000004</v>
          </cell>
        </row>
        <row r="23">
          <cell r="B23" t="str">
            <v xml:space="preserve">Compound (Installment) Options </v>
          </cell>
          <cell r="C23">
            <v>2.0000000000000004</v>
          </cell>
        </row>
        <row r="24">
          <cell r="B24" t="str">
            <v>Constant Maturity Swap</v>
          </cell>
          <cell r="C24">
            <v>2.0000000000000004</v>
          </cell>
        </row>
        <row r="25">
          <cell r="B25" t="str">
            <v>Corporate Finance (Debt Origination, Advisory, IPOs)</v>
          </cell>
          <cell r="C25">
            <v>1.6000000000000003</v>
          </cell>
        </row>
        <row r="26">
          <cell r="B26" t="str">
            <v>Corporate Murabaha</v>
          </cell>
          <cell r="C26">
            <v>1.5000000000000002</v>
          </cell>
        </row>
        <row r="27">
          <cell r="B27" t="str">
            <v>Cross currency swap</v>
          </cell>
          <cell r="C27">
            <v>2.0000000000000004</v>
          </cell>
        </row>
        <row r="28">
          <cell r="B28" t="str">
            <v xml:space="preserve">Deposit Call </v>
          </cell>
          <cell r="C28">
            <v>2.6000000000000005</v>
          </cell>
        </row>
        <row r="29">
          <cell r="B29" t="str">
            <v>Deposit: Fixed</v>
          </cell>
          <cell r="C29">
            <v>1.7000000000000004</v>
          </cell>
        </row>
        <row r="30">
          <cell r="B30" t="str">
            <v xml:space="preserve">Deposit: Term </v>
          </cell>
          <cell r="C30">
            <v>1.7000000000000004</v>
          </cell>
        </row>
        <row r="31">
          <cell r="B31" t="str">
            <v>Deposit: Time</v>
          </cell>
          <cell r="C31">
            <v>1.7000000000000004</v>
          </cell>
        </row>
        <row r="32">
          <cell r="B32" t="str">
            <v xml:space="preserve">Digital Options </v>
          </cell>
          <cell r="C32">
            <v>2.0000000000000004</v>
          </cell>
        </row>
        <row r="33">
          <cell r="B33" t="str">
            <v>Domestic: Bulk Cash Transit</v>
          </cell>
          <cell r="C33">
            <v>2.5</v>
          </cell>
        </row>
        <row r="34">
          <cell r="B34" t="str">
            <v xml:space="preserve">Double Barrier Options </v>
          </cell>
          <cell r="C34">
            <v>2.0000000000000004</v>
          </cell>
        </row>
        <row r="35">
          <cell r="B35" t="str">
            <v xml:space="preserve">Escrow </v>
          </cell>
          <cell r="C35">
            <v>2.1000000000000005</v>
          </cell>
        </row>
        <row r="36">
          <cell r="B36" t="str">
            <v>FCY denominated Current Account</v>
          </cell>
          <cell r="C36">
            <v>2.6000000000000005</v>
          </cell>
        </row>
        <row r="37">
          <cell r="B37" t="str">
            <v>FCY denominated Saving Account</v>
          </cell>
          <cell r="C37">
            <v>2.6000000000000005</v>
          </cell>
        </row>
        <row r="38">
          <cell r="B38" t="str">
            <v>Fixed/Float Swap</v>
          </cell>
          <cell r="C38">
            <v>2.0000000000000004</v>
          </cell>
        </row>
        <row r="39">
          <cell r="B39" t="str">
            <v>Forward Ijara</v>
          </cell>
          <cell r="C39">
            <v>1.5000000000000002</v>
          </cell>
        </row>
        <row r="40">
          <cell r="B40" t="str">
            <v>FX flexible forward</v>
          </cell>
          <cell r="C40">
            <v>2.0000000000000004</v>
          </cell>
        </row>
        <row r="41">
          <cell r="B41" t="str">
            <v>FX forward</v>
          </cell>
          <cell r="C41">
            <v>2.0000000000000004</v>
          </cell>
        </row>
        <row r="42">
          <cell r="B42" t="str">
            <v>FX spot</v>
          </cell>
          <cell r="C42">
            <v>2.0000000000000004</v>
          </cell>
        </row>
        <row r="43">
          <cell r="B43" t="str">
            <v>FX swap</v>
          </cell>
          <cell r="C43">
            <v>2.0000000000000004</v>
          </cell>
        </row>
        <row r="44">
          <cell r="B44" t="str">
            <v>Ijara</v>
          </cell>
          <cell r="C44">
            <v>1.5000000000000002</v>
          </cell>
        </row>
        <row r="45">
          <cell r="B45" t="str">
            <v>Investment Term Deposit</v>
          </cell>
          <cell r="C45">
            <v>1.7000000000000004</v>
          </cell>
        </row>
        <row r="46">
          <cell r="B46" t="str">
            <v>Islamic Current Account</v>
          </cell>
          <cell r="C46">
            <v>2.6000000000000005</v>
          </cell>
        </row>
        <row r="47">
          <cell r="B47" t="str">
            <v>Islamic Saving Account</v>
          </cell>
          <cell r="C47">
            <v>2.6000000000000005</v>
          </cell>
        </row>
        <row r="48">
          <cell r="B48" t="str">
            <v>Knock Out Swap</v>
          </cell>
          <cell r="C48">
            <v>2.0000000000000004</v>
          </cell>
        </row>
        <row r="49">
          <cell r="B49" t="str">
            <v>LC Murabaha</v>
          </cell>
          <cell r="C49">
            <v>2.4000000000000008</v>
          </cell>
        </row>
        <row r="50">
          <cell r="B50" t="str">
            <v>Liquidity Murabaha</v>
          </cell>
          <cell r="C50">
            <v>1.5000000000000002</v>
          </cell>
        </row>
        <row r="51">
          <cell r="B51" t="str">
            <v>Loan: Syndicated</v>
          </cell>
          <cell r="C51">
            <v>1.5000000000000002</v>
          </cell>
        </row>
        <row r="52">
          <cell r="B52" t="str">
            <v>Loan: Term</v>
          </cell>
          <cell r="C52">
            <v>1.5000000000000002</v>
          </cell>
        </row>
        <row r="53">
          <cell r="B53" t="str">
            <v>Loan: Working Capital</v>
          </cell>
          <cell r="C53">
            <v>1.5000000000000002</v>
          </cell>
        </row>
        <row r="54">
          <cell r="B54" t="str">
            <v>Payroll Packages</v>
          </cell>
          <cell r="C54">
            <v>1.4000000000000004</v>
          </cell>
        </row>
        <row r="55">
          <cell r="B55" t="str">
            <v>Range Accrual Swap</v>
          </cell>
          <cell r="C55">
            <v>2.0000000000000004</v>
          </cell>
        </row>
        <row r="56">
          <cell r="B56" t="str">
            <v>Swap with break clause</v>
          </cell>
          <cell r="C56">
            <v>2.0000000000000004</v>
          </cell>
        </row>
        <row r="57">
          <cell r="B57" t="str">
            <v>Trade Finance: Guarantees</v>
          </cell>
          <cell r="C57">
            <v>2.4000000000000008</v>
          </cell>
        </row>
        <row r="58">
          <cell r="B58" t="str">
            <v>Trade Finance: Letter of Credit</v>
          </cell>
          <cell r="C58">
            <v>2.4000000000000008</v>
          </cell>
        </row>
        <row r="59">
          <cell r="B59" t="str">
            <v>Trade Finance: Open Finance (Invoicing)</v>
          </cell>
          <cell r="C59">
            <v>2.4000000000000008</v>
          </cell>
        </row>
        <row r="60">
          <cell r="B60" t="str">
            <v xml:space="preserve">Trade Finance: Structured </v>
          </cell>
          <cell r="C60">
            <v>2.4000000000000008</v>
          </cell>
        </row>
        <row r="61">
          <cell r="B61" t="str">
            <v xml:space="preserve">USD / AED FX Options </v>
          </cell>
          <cell r="C61">
            <v>2.0000000000000004</v>
          </cell>
        </row>
        <row r="62">
          <cell r="B62" t="str">
            <v xml:space="preserve">Vanilla Options (Call &amp; Puts) </v>
          </cell>
          <cell r="C62">
            <v>2.0000000000000004</v>
          </cell>
        </row>
        <row r="63">
          <cell r="B63" t="str">
            <v>Wage Protection Services (WPS)</v>
          </cell>
          <cell r="C63">
            <v>1.4000000000000004</v>
          </cell>
        </row>
        <row r="64">
          <cell r="B64" t="str">
            <v>Wakala – Special Investment Deposit</v>
          </cell>
          <cell r="C64">
            <v>2.5</v>
          </cell>
        </row>
      </sheetData>
      <sheetData sheetId="8" refreshError="1"/>
      <sheetData sheetId="9"/>
      <sheetData sheetId="1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nding"/>
      <sheetName val="Risk Calc"/>
      <sheetName val="Sheet1"/>
      <sheetName val="Data"/>
      <sheetName val="NAICS Master"/>
      <sheetName val="Landing Page"/>
      <sheetName val="Sheet3"/>
    </sheetNames>
    <sheetDataSet>
      <sheetData sheetId="0" refreshError="1"/>
      <sheetData sheetId="1" refreshError="1"/>
      <sheetData sheetId="2" refreshError="1"/>
      <sheetData sheetId="3">
        <row r="3">
          <cell r="B3" t="str">
            <v>Afghanistan</v>
          </cell>
        </row>
        <row r="4">
          <cell r="B4" t="str">
            <v>Albania</v>
          </cell>
        </row>
        <row r="5">
          <cell r="B5" t="str">
            <v>Algeria</v>
          </cell>
        </row>
        <row r="6">
          <cell r="B6" t="str">
            <v>Angola</v>
          </cell>
        </row>
        <row r="7">
          <cell r="B7" t="str">
            <v>Argentina</v>
          </cell>
        </row>
        <row r="8">
          <cell r="B8" t="str">
            <v>Armenia</v>
          </cell>
        </row>
        <row r="9">
          <cell r="B9" t="str">
            <v>Australia</v>
          </cell>
        </row>
        <row r="10">
          <cell r="B10" t="str">
            <v>Austria</v>
          </cell>
        </row>
        <row r="11">
          <cell r="B11" t="str">
            <v>Azerbaijan</v>
          </cell>
        </row>
        <row r="12">
          <cell r="B12" t="str">
            <v>Bahamas</v>
          </cell>
        </row>
        <row r="13">
          <cell r="B13" t="str">
            <v>Bahrain</v>
          </cell>
        </row>
        <row r="14">
          <cell r="B14" t="str">
            <v>Bangladesh</v>
          </cell>
        </row>
        <row r="15">
          <cell r="B15" t="str">
            <v>Barbados</v>
          </cell>
        </row>
        <row r="16">
          <cell r="B16" t="str">
            <v>Belarus</v>
          </cell>
        </row>
        <row r="17">
          <cell r="B17" t="str">
            <v>Belgium</v>
          </cell>
        </row>
        <row r="18">
          <cell r="B18" t="str">
            <v>Benin</v>
          </cell>
        </row>
        <row r="19">
          <cell r="B19" t="str">
            <v>Bolivia</v>
          </cell>
        </row>
        <row r="20">
          <cell r="B20" t="str">
            <v>Bosnia and Herzegovina</v>
          </cell>
        </row>
        <row r="21">
          <cell r="B21" t="str">
            <v>Botswana</v>
          </cell>
        </row>
        <row r="22">
          <cell r="B22" t="str">
            <v>Brazil</v>
          </cell>
        </row>
        <row r="23">
          <cell r="B23" t="str">
            <v>Brunei Darussalam</v>
          </cell>
        </row>
        <row r="24">
          <cell r="B24" t="str">
            <v>Bulgaria</v>
          </cell>
        </row>
        <row r="25">
          <cell r="B25" t="str">
            <v>Burkina Faso</v>
          </cell>
        </row>
        <row r="26">
          <cell r="B26" t="str">
            <v>Cambodia</v>
          </cell>
        </row>
        <row r="27">
          <cell r="B27" t="str">
            <v>Canada</v>
          </cell>
        </row>
        <row r="28">
          <cell r="B28" t="str">
            <v>Cape Verde</v>
          </cell>
        </row>
        <row r="29">
          <cell r="B29" t="str">
            <v>Chile</v>
          </cell>
        </row>
        <row r="30">
          <cell r="B30" t="str">
            <v>China</v>
          </cell>
        </row>
        <row r="31">
          <cell r="B31" t="str">
            <v>Colombia</v>
          </cell>
        </row>
        <row r="32">
          <cell r="B32" t="str">
            <v>Comoros</v>
          </cell>
        </row>
        <row r="33">
          <cell r="B33" t="str">
            <v>Costa Rica</v>
          </cell>
        </row>
        <row r="34">
          <cell r="B34" t="str">
            <v>Cote D'ivoire</v>
          </cell>
        </row>
        <row r="35">
          <cell r="B35" t="str">
            <v>Croatia</v>
          </cell>
        </row>
        <row r="36">
          <cell r="B36" t="str">
            <v>Cyprus</v>
          </cell>
        </row>
        <row r="37">
          <cell r="B37" t="str">
            <v>Czech Republic</v>
          </cell>
        </row>
        <row r="38">
          <cell r="B38" t="str">
            <v>Denmark</v>
          </cell>
        </row>
        <row r="39">
          <cell r="B39" t="str">
            <v>Djibouti</v>
          </cell>
        </row>
        <row r="40">
          <cell r="B40" t="str">
            <v>Dominica</v>
          </cell>
        </row>
        <row r="41">
          <cell r="B41" t="str">
            <v>Dominican Republic</v>
          </cell>
        </row>
        <row r="42">
          <cell r="B42" t="str">
            <v>Ecuador</v>
          </cell>
        </row>
        <row r="43">
          <cell r="B43" t="str">
            <v>Egypt</v>
          </cell>
        </row>
        <row r="44">
          <cell r="B44" t="str">
            <v>El Salvador</v>
          </cell>
        </row>
        <row r="45">
          <cell r="B45" t="str">
            <v>Estonia</v>
          </cell>
        </row>
        <row r="46">
          <cell r="B46" t="str">
            <v>Finland</v>
          </cell>
        </row>
        <row r="47">
          <cell r="B47" t="str">
            <v>France</v>
          </cell>
        </row>
        <row r="48">
          <cell r="B48" t="str">
            <v>Gambia, The</v>
          </cell>
        </row>
        <row r="49">
          <cell r="B49" t="str">
            <v>Georgia</v>
          </cell>
        </row>
        <row r="50">
          <cell r="B50" t="str">
            <v>Germany</v>
          </cell>
        </row>
        <row r="51">
          <cell r="B51" t="str">
            <v>Ghana</v>
          </cell>
        </row>
        <row r="52">
          <cell r="B52" t="str">
            <v>Greece</v>
          </cell>
        </row>
        <row r="53">
          <cell r="B53" t="str">
            <v>Grenada</v>
          </cell>
        </row>
        <row r="54">
          <cell r="B54" t="str">
            <v>Guatemala</v>
          </cell>
        </row>
        <row r="55">
          <cell r="B55" t="str">
            <v>Guinea</v>
          </cell>
        </row>
        <row r="56">
          <cell r="B56" t="str">
            <v>Guinea-Bissau</v>
          </cell>
        </row>
        <row r="57">
          <cell r="B57" t="str">
            <v>Guyana</v>
          </cell>
        </row>
        <row r="58">
          <cell r="B58" t="str">
            <v>Haiti</v>
          </cell>
        </row>
        <row r="59">
          <cell r="B59" t="str">
            <v>Honduras</v>
          </cell>
        </row>
        <row r="60">
          <cell r="B60" t="str">
            <v>Hong Kong</v>
          </cell>
        </row>
        <row r="61">
          <cell r="B61" t="str">
            <v>Hungary</v>
          </cell>
        </row>
        <row r="62">
          <cell r="B62" t="str">
            <v>Iceland</v>
          </cell>
        </row>
        <row r="63">
          <cell r="B63" t="str">
            <v>India</v>
          </cell>
        </row>
        <row r="64">
          <cell r="B64" t="str">
            <v>Indonesia</v>
          </cell>
        </row>
        <row r="65">
          <cell r="B65" t="str">
            <v>Iran</v>
          </cell>
        </row>
        <row r="66">
          <cell r="B66" t="str">
            <v>Iraq</v>
          </cell>
        </row>
        <row r="67">
          <cell r="B67" t="str">
            <v>Ireland</v>
          </cell>
        </row>
        <row r="68">
          <cell r="B68" t="str">
            <v>Israel</v>
          </cell>
        </row>
        <row r="69">
          <cell r="B69" t="str">
            <v>Italy</v>
          </cell>
        </row>
        <row r="70">
          <cell r="B70" t="str">
            <v>Jamaica</v>
          </cell>
        </row>
        <row r="71">
          <cell r="B71" t="str">
            <v>Japan</v>
          </cell>
        </row>
        <row r="72">
          <cell r="B72" t="str">
            <v>Jordan</v>
          </cell>
        </row>
        <row r="73">
          <cell r="B73" t="str">
            <v>Kazakhstan</v>
          </cell>
        </row>
        <row r="74">
          <cell r="B74" t="str">
            <v>Kenya</v>
          </cell>
        </row>
        <row r="75">
          <cell r="B75" t="str">
            <v>Kosovo</v>
          </cell>
        </row>
        <row r="76">
          <cell r="B76" t="str">
            <v>Kuwait</v>
          </cell>
        </row>
        <row r="77">
          <cell r="B77" t="str">
            <v>Kyrgyzstan</v>
          </cell>
        </row>
        <row r="78">
          <cell r="B78" t="str">
            <v>Lao People's Democratic Republic</v>
          </cell>
        </row>
        <row r="79">
          <cell r="B79" t="str">
            <v>Latvia</v>
          </cell>
        </row>
        <row r="80">
          <cell r="B80" t="str">
            <v>Lebanon</v>
          </cell>
        </row>
        <row r="81">
          <cell r="B81" t="str">
            <v>Lesotho</v>
          </cell>
        </row>
        <row r="82">
          <cell r="B82" t="str">
            <v>Liberia</v>
          </cell>
        </row>
        <row r="83">
          <cell r="B83" t="str">
            <v>Lithuania</v>
          </cell>
        </row>
        <row r="84">
          <cell r="B84" t="str">
            <v>Luxembourg</v>
          </cell>
        </row>
        <row r="85">
          <cell r="B85" t="str">
            <v>Macedonia</v>
          </cell>
        </row>
        <row r="86">
          <cell r="B86" t="str">
            <v>Malawi</v>
          </cell>
        </row>
        <row r="87">
          <cell r="B87" t="str">
            <v>Malaysia</v>
          </cell>
        </row>
        <row r="88">
          <cell r="B88" t="str">
            <v>Maldives</v>
          </cell>
        </row>
        <row r="89">
          <cell r="B89" t="str">
            <v>Mali</v>
          </cell>
        </row>
        <row r="90">
          <cell r="B90" t="str">
            <v>Malta</v>
          </cell>
        </row>
        <row r="91">
          <cell r="B91" t="str">
            <v>Marshall Islands</v>
          </cell>
        </row>
        <row r="92">
          <cell r="B92" t="str">
            <v>Mauritania</v>
          </cell>
        </row>
        <row r="93">
          <cell r="B93" t="str">
            <v>Mauritius</v>
          </cell>
        </row>
        <row r="94">
          <cell r="B94" t="str">
            <v>Mexico</v>
          </cell>
        </row>
        <row r="95">
          <cell r="B95" t="str">
            <v>Moldova</v>
          </cell>
        </row>
        <row r="96">
          <cell r="B96" t="str">
            <v>Mongolia</v>
          </cell>
        </row>
        <row r="97">
          <cell r="B97" t="str">
            <v>Montenegro</v>
          </cell>
        </row>
        <row r="98">
          <cell r="B98" t="str">
            <v>Morocco</v>
          </cell>
        </row>
        <row r="99">
          <cell r="B99" t="str">
            <v>Mozambique</v>
          </cell>
        </row>
        <row r="100">
          <cell r="B100" t="str">
            <v>Myanmar</v>
          </cell>
        </row>
        <row r="101">
          <cell r="B101" t="str">
            <v>Namibia</v>
          </cell>
        </row>
        <row r="102">
          <cell r="B102" t="str">
            <v>Nepal</v>
          </cell>
        </row>
        <row r="103">
          <cell r="B103" t="str">
            <v>Netherlands</v>
          </cell>
        </row>
        <row r="104">
          <cell r="B104" t="str">
            <v>New Zealand</v>
          </cell>
        </row>
        <row r="105">
          <cell r="B105" t="str">
            <v>Nicaragua</v>
          </cell>
        </row>
        <row r="106">
          <cell r="B106" t="str">
            <v>Niger</v>
          </cell>
        </row>
        <row r="107">
          <cell r="B107" t="str">
            <v>Nigeria</v>
          </cell>
        </row>
        <row r="108">
          <cell r="B108" t="str">
            <v>Norway</v>
          </cell>
        </row>
        <row r="109">
          <cell r="B109" t="str">
            <v>Oman</v>
          </cell>
        </row>
        <row r="110">
          <cell r="B110" t="str">
            <v>Pakistan</v>
          </cell>
        </row>
        <row r="111">
          <cell r="B111" t="str">
            <v>Panama</v>
          </cell>
        </row>
        <row r="112">
          <cell r="B112" t="str">
            <v>Papua New Guinea</v>
          </cell>
        </row>
        <row r="113">
          <cell r="B113" t="str">
            <v>Paraguay</v>
          </cell>
        </row>
        <row r="114">
          <cell r="B114" t="str">
            <v>Peru</v>
          </cell>
        </row>
        <row r="115">
          <cell r="B115" t="str">
            <v>Philippines</v>
          </cell>
        </row>
        <row r="116">
          <cell r="B116" t="str">
            <v>Poland</v>
          </cell>
        </row>
        <row r="117">
          <cell r="B117" t="str">
            <v>Portugal</v>
          </cell>
        </row>
        <row r="118">
          <cell r="B118" t="str">
            <v>Qatar</v>
          </cell>
        </row>
        <row r="119">
          <cell r="B119" t="str">
            <v>Romania</v>
          </cell>
        </row>
        <row r="120">
          <cell r="B120" t="str">
            <v>Russian Federation</v>
          </cell>
        </row>
        <row r="121">
          <cell r="B121" t="str">
            <v>Saint Lucia</v>
          </cell>
        </row>
        <row r="122">
          <cell r="B122" t="str">
            <v>Saint Vincent and The Grenadines</v>
          </cell>
        </row>
        <row r="123">
          <cell r="B123" t="str">
            <v>Samoa</v>
          </cell>
        </row>
        <row r="124">
          <cell r="B124" t="str">
            <v>Sao Tome and Principe</v>
          </cell>
        </row>
        <row r="125">
          <cell r="B125" t="str">
            <v>Saudi Arabia</v>
          </cell>
        </row>
        <row r="126">
          <cell r="B126" t="str">
            <v>Senegal</v>
          </cell>
        </row>
        <row r="127">
          <cell r="B127" t="str">
            <v>Serbia</v>
          </cell>
        </row>
        <row r="128">
          <cell r="B128" t="str">
            <v>Seychelles</v>
          </cell>
        </row>
        <row r="129">
          <cell r="B129" t="str">
            <v>Sierra Leone</v>
          </cell>
        </row>
        <row r="130">
          <cell r="B130" t="str">
            <v>Singapore</v>
          </cell>
        </row>
        <row r="131">
          <cell r="B131" t="str">
            <v>Slovakia</v>
          </cell>
        </row>
        <row r="132">
          <cell r="B132" t="str">
            <v>Slovenia</v>
          </cell>
        </row>
        <row r="133">
          <cell r="B133" t="str">
            <v>South Africa</v>
          </cell>
        </row>
        <row r="134">
          <cell r="B134" t="str">
            <v>South Korea</v>
          </cell>
        </row>
        <row r="135">
          <cell r="B135" t="str">
            <v>Spain</v>
          </cell>
        </row>
        <row r="136">
          <cell r="B136" t="str">
            <v>Sri Lanka</v>
          </cell>
        </row>
        <row r="137">
          <cell r="B137" t="str">
            <v>Sudan</v>
          </cell>
        </row>
        <row r="138">
          <cell r="B138" t="str">
            <v>Suriname</v>
          </cell>
        </row>
        <row r="139">
          <cell r="B139" t="str">
            <v>Swaziland</v>
          </cell>
        </row>
        <row r="140">
          <cell r="B140" t="str">
            <v>Sweden</v>
          </cell>
        </row>
        <row r="141">
          <cell r="B141" t="str">
            <v>Switzerland</v>
          </cell>
        </row>
        <row r="142">
          <cell r="B142" t="str">
            <v>Syrian Arab Republic</v>
          </cell>
        </row>
        <row r="143">
          <cell r="B143" t="str">
            <v>Taiwan</v>
          </cell>
        </row>
        <row r="144">
          <cell r="B144" t="str">
            <v>Tajikistan</v>
          </cell>
        </row>
        <row r="145">
          <cell r="B145" t="str">
            <v>Tanzania</v>
          </cell>
        </row>
        <row r="146">
          <cell r="B146" t="str">
            <v>Thailand</v>
          </cell>
        </row>
        <row r="147">
          <cell r="B147" t="str">
            <v>Timor-Leste</v>
          </cell>
        </row>
        <row r="148">
          <cell r="B148" t="str">
            <v>Togo</v>
          </cell>
        </row>
        <row r="149">
          <cell r="B149" t="str">
            <v>Trinidad and Tobago</v>
          </cell>
        </row>
        <row r="150">
          <cell r="B150" t="str">
            <v>Tunisia</v>
          </cell>
        </row>
        <row r="151">
          <cell r="B151" t="str">
            <v>Turkey</v>
          </cell>
        </row>
        <row r="152">
          <cell r="B152" t="str">
            <v>Uganda</v>
          </cell>
        </row>
        <row r="153">
          <cell r="B153" t="str">
            <v>Ukraine</v>
          </cell>
        </row>
        <row r="154">
          <cell r="B154" t="str">
            <v>United Arab Emirates</v>
          </cell>
        </row>
        <row r="155">
          <cell r="B155" t="str">
            <v>United Kingdom</v>
          </cell>
        </row>
        <row r="156">
          <cell r="B156" t="str">
            <v>United States</v>
          </cell>
        </row>
        <row r="157">
          <cell r="B157" t="str">
            <v>Uruguay</v>
          </cell>
        </row>
        <row r="158">
          <cell r="B158" t="str">
            <v>Uzbekistan</v>
          </cell>
        </row>
        <row r="159">
          <cell r="B159" t="str">
            <v>Vanuatu</v>
          </cell>
        </row>
        <row r="160">
          <cell r="B160" t="str">
            <v>Venezuela</v>
          </cell>
        </row>
        <row r="161">
          <cell r="B161" t="str">
            <v>Viet Nam</v>
          </cell>
        </row>
        <row r="162">
          <cell r="B162" t="str">
            <v>Yemen</v>
          </cell>
        </row>
        <row r="163">
          <cell r="B163" t="str">
            <v>Zambia</v>
          </cell>
        </row>
        <row r="164">
          <cell r="B164" t="str">
            <v>Zimbabwe</v>
          </cell>
        </row>
      </sheetData>
      <sheetData sheetId="4" refreshError="1"/>
      <sheetData sheetId="5" refreshError="1"/>
      <sheetData sheetId="6"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duction Page"/>
      <sheetName val="User Page"/>
      <sheetName val="Admin Page"/>
      <sheetName val="Landing Page(OLD)"/>
      <sheetName val="Landing Page"/>
      <sheetName val="Bulk data"/>
      <sheetName val="Master sheet"/>
      <sheetName val="High Risk"/>
      <sheetName val="Medium Risk"/>
      <sheetName val="Low Risk"/>
      <sheetName val="Rejected"/>
      <sheetName val="Graph"/>
      <sheetName val="Confusion Matrix"/>
      <sheetName val="DATA"/>
      <sheetName val="Sector"/>
      <sheetName val="Calcul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nding Page"/>
      <sheetName val="Calculation"/>
      <sheetName val="Sheet1"/>
      <sheetName val="Country Risk"/>
      <sheetName val="Customer Type"/>
      <sheetName val="Products and Services Risk"/>
      <sheetName val="Channel - Interface Risk"/>
      <sheetName val="P&amp;S input"/>
      <sheetName val="Channel - Interface input"/>
    </sheetNames>
    <sheetDataSet>
      <sheetData sheetId="0">
        <row r="28">
          <cell r="C28" t="str">
            <v>Not Applicable</v>
          </cell>
        </row>
        <row r="35">
          <cell r="C35" t="str">
            <v>Not Applicable</v>
          </cell>
          <cell r="F35" t="str">
            <v>Not Applicable</v>
          </cell>
        </row>
        <row r="36">
          <cell r="C36" t="str">
            <v>Not Applicable</v>
          </cell>
          <cell r="F36" t="str">
            <v>Not Applicable</v>
          </cell>
        </row>
        <row r="37">
          <cell r="C37" t="str">
            <v>Not Applicable</v>
          </cell>
          <cell r="F37" t="str">
            <v>Not Applicable</v>
          </cell>
        </row>
        <row r="38">
          <cell r="C38" t="str">
            <v>Not Applicable</v>
          </cell>
          <cell r="F38" t="str">
            <v>Not Applicable</v>
          </cell>
        </row>
      </sheetData>
      <sheetData sheetId="1"/>
      <sheetData sheetId="2"/>
      <sheetData sheetId="3"/>
      <sheetData sheetId="4">
        <row r="70">
          <cell r="C70" t="str">
            <v>Upto AED250,000</v>
          </cell>
        </row>
        <row r="71">
          <cell r="C71" t="str">
            <v>AED250,000 to AED1 million</v>
          </cell>
        </row>
        <row r="72">
          <cell r="C72" t="str">
            <v>Above AED1 million</v>
          </cell>
        </row>
      </sheetData>
      <sheetData sheetId="5">
        <row r="11">
          <cell r="B11" t="str">
            <v>AED denominated Current Account</v>
          </cell>
        </row>
      </sheetData>
      <sheetData sheetId="6">
        <row r="2">
          <cell r="B2" t="str">
            <v>Rating scale</v>
          </cell>
        </row>
      </sheetData>
      <sheetData sheetId="7">
        <row r="6">
          <cell r="B6" t="str">
            <v>Quickly</v>
          </cell>
        </row>
      </sheetData>
      <sheetData sheetId="8"/>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NDING PAGE"/>
      <sheetName val="Calculation"/>
      <sheetName val="DATA"/>
      <sheetName val="NAICS Master"/>
      <sheetName val="Occupation"/>
    </sheetNames>
    <sheetDataSet>
      <sheetData sheetId="0" refreshError="1"/>
      <sheetData sheetId="1">
        <row r="21">
          <cell r="L21" t="e">
            <v>#N/A</v>
          </cell>
        </row>
      </sheetData>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untry Risk"/>
      <sheetName val="FATF"/>
      <sheetName val="BASEL"/>
      <sheetName val="Sanction Programme"/>
      <sheetName val="safe heavens"/>
      <sheetName val="KYCountry Score"/>
      <sheetName val="working"/>
    </sheetNames>
    <sheetDataSet>
      <sheetData sheetId="0"/>
      <sheetData sheetId="1">
        <row r="3">
          <cell r="D3">
            <v>1</v>
          </cell>
        </row>
        <row r="6">
          <cell r="D6">
            <v>1</v>
          </cell>
        </row>
        <row r="7">
          <cell r="D7">
            <v>1</v>
          </cell>
        </row>
        <row r="9">
          <cell r="D9">
            <v>1</v>
          </cell>
        </row>
        <row r="10">
          <cell r="D10">
            <v>1</v>
          </cell>
        </row>
        <row r="11">
          <cell r="D11">
            <v>1</v>
          </cell>
        </row>
        <row r="13">
          <cell r="D13">
            <v>1</v>
          </cell>
        </row>
        <row r="14">
          <cell r="D14">
            <v>1</v>
          </cell>
        </row>
        <row r="15">
          <cell r="D15">
            <v>1</v>
          </cell>
        </row>
        <row r="16">
          <cell r="D16">
            <v>1</v>
          </cell>
        </row>
        <row r="17">
          <cell r="D17">
            <v>1</v>
          </cell>
        </row>
        <row r="18">
          <cell r="D18">
            <v>1</v>
          </cell>
        </row>
        <row r="19">
          <cell r="D19">
            <v>1</v>
          </cell>
        </row>
        <row r="20">
          <cell r="D20">
            <v>1</v>
          </cell>
        </row>
        <row r="21">
          <cell r="D21">
            <v>1</v>
          </cell>
        </row>
        <row r="22">
          <cell r="D22">
            <v>1</v>
          </cell>
        </row>
        <row r="23">
          <cell r="D23">
            <v>1</v>
          </cell>
        </row>
        <row r="24">
          <cell r="D24">
            <v>1</v>
          </cell>
        </row>
        <row r="25">
          <cell r="D25">
            <v>1</v>
          </cell>
        </row>
        <row r="26">
          <cell r="D26">
            <v>1</v>
          </cell>
        </row>
        <row r="27">
          <cell r="D27">
            <v>1</v>
          </cell>
        </row>
        <row r="28">
          <cell r="D28">
            <v>1</v>
          </cell>
        </row>
        <row r="29">
          <cell r="D29">
            <v>1</v>
          </cell>
        </row>
        <row r="30">
          <cell r="D30">
            <v>1</v>
          </cell>
        </row>
        <row r="32">
          <cell r="D32">
            <v>1</v>
          </cell>
        </row>
        <row r="33">
          <cell r="D33">
            <v>1</v>
          </cell>
        </row>
        <row r="35">
          <cell r="D35">
            <v>1</v>
          </cell>
        </row>
        <row r="37">
          <cell r="D37">
            <v>1</v>
          </cell>
        </row>
        <row r="38">
          <cell r="D38">
            <v>1</v>
          </cell>
        </row>
        <row r="39">
          <cell r="D39">
            <v>2</v>
          </cell>
        </row>
        <row r="40">
          <cell r="D40">
            <v>2</v>
          </cell>
        </row>
        <row r="41">
          <cell r="D41">
            <v>1</v>
          </cell>
        </row>
        <row r="42">
          <cell r="D42">
            <v>1</v>
          </cell>
        </row>
        <row r="43">
          <cell r="D43">
            <v>2</v>
          </cell>
        </row>
        <row r="44">
          <cell r="D44">
            <v>1</v>
          </cell>
        </row>
        <row r="45">
          <cell r="D45">
            <v>1</v>
          </cell>
        </row>
        <row r="46">
          <cell r="D46">
            <v>1</v>
          </cell>
        </row>
        <row r="47">
          <cell r="D47">
            <v>1</v>
          </cell>
        </row>
        <row r="48">
          <cell r="D48">
            <v>1</v>
          </cell>
        </row>
        <row r="49">
          <cell r="D49">
            <v>1</v>
          </cell>
        </row>
        <row r="50">
          <cell r="D50">
            <v>1</v>
          </cell>
        </row>
        <row r="53">
          <cell r="D53">
            <v>1</v>
          </cell>
        </row>
        <row r="54">
          <cell r="D54">
            <v>1</v>
          </cell>
        </row>
        <row r="55">
          <cell r="D55">
            <v>1</v>
          </cell>
        </row>
        <row r="56">
          <cell r="D56">
            <v>1</v>
          </cell>
        </row>
        <row r="57">
          <cell r="D57">
            <v>1</v>
          </cell>
        </row>
        <row r="58">
          <cell r="D58">
            <v>2</v>
          </cell>
        </row>
        <row r="59">
          <cell r="D59">
            <v>1</v>
          </cell>
        </row>
        <row r="60">
          <cell r="D60">
            <v>1</v>
          </cell>
        </row>
        <row r="61">
          <cell r="D61">
            <v>1</v>
          </cell>
        </row>
        <row r="62">
          <cell r="D62">
            <v>1</v>
          </cell>
        </row>
        <row r="63">
          <cell r="D63">
            <v>2</v>
          </cell>
        </row>
        <row r="64">
          <cell r="D64">
            <v>1</v>
          </cell>
        </row>
        <row r="65">
          <cell r="D65">
            <v>1</v>
          </cell>
        </row>
        <row r="66">
          <cell r="D66">
            <v>1</v>
          </cell>
        </row>
        <row r="67">
          <cell r="D67">
            <v>1</v>
          </cell>
        </row>
        <row r="68">
          <cell r="D68">
            <v>1</v>
          </cell>
        </row>
        <row r="69">
          <cell r="D69">
            <v>1</v>
          </cell>
        </row>
        <row r="70">
          <cell r="D70">
            <v>1</v>
          </cell>
        </row>
        <row r="71">
          <cell r="D71">
            <v>1</v>
          </cell>
        </row>
        <row r="72">
          <cell r="D72">
            <v>1</v>
          </cell>
        </row>
        <row r="73">
          <cell r="D73">
            <v>1</v>
          </cell>
        </row>
        <row r="74">
          <cell r="D74">
            <v>1</v>
          </cell>
        </row>
        <row r="76">
          <cell r="D76">
            <v>1</v>
          </cell>
        </row>
        <row r="77">
          <cell r="D77">
            <v>1</v>
          </cell>
        </row>
        <row r="78">
          <cell r="D78">
            <v>1</v>
          </cell>
        </row>
        <row r="79">
          <cell r="D79">
            <v>1</v>
          </cell>
        </row>
        <row r="83">
          <cell r="D83">
            <v>1</v>
          </cell>
        </row>
        <row r="84">
          <cell r="D84">
            <v>1</v>
          </cell>
        </row>
        <row r="85">
          <cell r="D85">
            <v>1</v>
          </cell>
        </row>
        <row r="86">
          <cell r="D86">
            <v>1</v>
          </cell>
        </row>
        <row r="87">
          <cell r="D87">
            <v>1</v>
          </cell>
        </row>
        <row r="88">
          <cell r="D88">
            <v>1</v>
          </cell>
        </row>
        <row r="89">
          <cell r="D89">
            <v>1</v>
          </cell>
        </row>
        <row r="91">
          <cell r="D91">
            <v>1</v>
          </cell>
        </row>
        <row r="94">
          <cell r="D94">
            <v>1</v>
          </cell>
        </row>
        <row r="95">
          <cell r="D95">
            <v>1</v>
          </cell>
        </row>
        <row r="96">
          <cell r="D96">
            <v>1</v>
          </cell>
        </row>
        <row r="97">
          <cell r="D97">
            <v>1</v>
          </cell>
        </row>
        <row r="98">
          <cell r="D98">
            <v>1</v>
          </cell>
        </row>
        <row r="99">
          <cell r="D99">
            <v>2</v>
          </cell>
        </row>
        <row r="101">
          <cell r="D101">
            <v>1</v>
          </cell>
        </row>
        <row r="102">
          <cell r="D102">
            <v>1</v>
          </cell>
        </row>
        <row r="103">
          <cell r="D103">
            <v>1</v>
          </cell>
        </row>
        <row r="104">
          <cell r="D104">
            <v>1</v>
          </cell>
        </row>
        <row r="105">
          <cell r="D105">
            <v>1</v>
          </cell>
        </row>
        <row r="106">
          <cell r="D106">
            <v>1</v>
          </cell>
        </row>
        <row r="107">
          <cell r="D107">
            <v>3</v>
          </cell>
        </row>
        <row r="108">
          <cell r="D108">
            <v>1</v>
          </cell>
        </row>
        <row r="109">
          <cell r="D109">
            <v>1</v>
          </cell>
        </row>
        <row r="110">
          <cell r="D110">
            <v>1</v>
          </cell>
        </row>
        <row r="111">
          <cell r="D111">
            <v>1</v>
          </cell>
        </row>
        <row r="112">
          <cell r="D112">
            <v>1</v>
          </cell>
        </row>
        <row r="113">
          <cell r="D113">
            <v>2</v>
          </cell>
        </row>
        <row r="114">
          <cell r="D114">
            <v>1</v>
          </cell>
        </row>
        <row r="115">
          <cell r="D115">
            <v>1</v>
          </cell>
        </row>
        <row r="116">
          <cell r="D116">
            <v>1</v>
          </cell>
        </row>
        <row r="117">
          <cell r="D117">
            <v>1</v>
          </cell>
        </row>
        <row r="118">
          <cell r="D118">
            <v>2</v>
          </cell>
        </row>
        <row r="120">
          <cell r="D120">
            <v>1</v>
          </cell>
        </row>
        <row r="121">
          <cell r="D121">
            <v>1</v>
          </cell>
        </row>
        <row r="122">
          <cell r="D122">
            <v>1</v>
          </cell>
        </row>
        <row r="123">
          <cell r="D123">
            <v>1</v>
          </cell>
        </row>
        <row r="124">
          <cell r="D124">
            <v>1</v>
          </cell>
        </row>
        <row r="125">
          <cell r="D125">
            <v>1</v>
          </cell>
        </row>
        <row r="126">
          <cell r="D126">
            <v>1</v>
          </cell>
        </row>
        <row r="127">
          <cell r="D127">
            <v>1</v>
          </cell>
        </row>
        <row r="128">
          <cell r="D128">
            <v>1</v>
          </cell>
        </row>
        <row r="129">
          <cell r="D129">
            <v>1</v>
          </cell>
        </row>
        <row r="130">
          <cell r="D130">
            <v>1</v>
          </cell>
        </row>
        <row r="131">
          <cell r="D131">
            <v>1</v>
          </cell>
        </row>
        <row r="132">
          <cell r="D132">
            <v>1</v>
          </cell>
        </row>
        <row r="133">
          <cell r="D133">
            <v>1</v>
          </cell>
        </row>
        <row r="134">
          <cell r="D134">
            <v>1</v>
          </cell>
        </row>
        <row r="135">
          <cell r="D135">
            <v>1</v>
          </cell>
        </row>
        <row r="136">
          <cell r="D136">
            <v>1</v>
          </cell>
        </row>
        <row r="137">
          <cell r="D137">
            <v>1</v>
          </cell>
        </row>
        <row r="138">
          <cell r="D138">
            <v>1</v>
          </cell>
        </row>
        <row r="139">
          <cell r="D139">
            <v>1</v>
          </cell>
        </row>
        <row r="140">
          <cell r="D140">
            <v>1</v>
          </cell>
        </row>
        <row r="142">
          <cell r="D142">
            <v>1</v>
          </cell>
        </row>
        <row r="143">
          <cell r="D143">
            <v>1</v>
          </cell>
        </row>
        <row r="144">
          <cell r="D144">
            <v>1</v>
          </cell>
        </row>
        <row r="145">
          <cell r="D145">
            <v>1</v>
          </cell>
        </row>
        <row r="147">
          <cell r="D147">
            <v>1</v>
          </cell>
        </row>
        <row r="148">
          <cell r="D148">
            <v>1</v>
          </cell>
        </row>
        <row r="149">
          <cell r="D149">
            <v>1</v>
          </cell>
        </row>
        <row r="150">
          <cell r="D150">
            <v>1</v>
          </cell>
        </row>
        <row r="151">
          <cell r="D151">
            <v>1</v>
          </cell>
        </row>
        <row r="152">
          <cell r="D152">
            <v>1</v>
          </cell>
        </row>
        <row r="153">
          <cell r="D153">
            <v>2</v>
          </cell>
        </row>
        <row r="154">
          <cell r="D154">
            <v>3</v>
          </cell>
        </row>
        <row r="155">
          <cell r="D155">
            <v>2</v>
          </cell>
        </row>
        <row r="156">
          <cell r="D156">
            <v>1</v>
          </cell>
        </row>
        <row r="157">
          <cell r="D157">
            <v>1</v>
          </cell>
        </row>
        <row r="158">
          <cell r="D158">
            <v>1</v>
          </cell>
        </row>
        <row r="161">
          <cell r="D161">
            <v>1</v>
          </cell>
        </row>
        <row r="162">
          <cell r="D162">
            <v>1</v>
          </cell>
        </row>
        <row r="163">
          <cell r="D163">
            <v>1</v>
          </cell>
        </row>
        <row r="164">
          <cell r="D164">
            <v>2</v>
          </cell>
        </row>
        <row r="165">
          <cell r="D165">
            <v>1</v>
          </cell>
        </row>
        <row r="167">
          <cell r="D167">
            <v>3</v>
          </cell>
        </row>
        <row r="169">
          <cell r="D169">
            <v>1</v>
          </cell>
        </row>
        <row r="170">
          <cell r="D170">
            <v>1</v>
          </cell>
        </row>
        <row r="171">
          <cell r="D171">
            <v>1</v>
          </cell>
        </row>
        <row r="172">
          <cell r="D172">
            <v>1</v>
          </cell>
        </row>
        <row r="173">
          <cell r="D173">
            <v>1</v>
          </cell>
        </row>
        <row r="174">
          <cell r="D174">
            <v>1</v>
          </cell>
        </row>
        <row r="175">
          <cell r="D175">
            <v>1</v>
          </cell>
        </row>
        <row r="176">
          <cell r="D176">
            <v>1</v>
          </cell>
        </row>
        <row r="177">
          <cell r="D177">
            <v>1</v>
          </cell>
        </row>
        <row r="178">
          <cell r="D178">
            <v>2</v>
          </cell>
        </row>
        <row r="180">
          <cell r="D180">
            <v>1</v>
          </cell>
        </row>
        <row r="181">
          <cell r="D181">
            <v>1</v>
          </cell>
        </row>
        <row r="183">
          <cell r="D183">
            <v>1</v>
          </cell>
        </row>
        <row r="184">
          <cell r="D184">
            <v>1</v>
          </cell>
        </row>
        <row r="185">
          <cell r="D185">
            <v>1</v>
          </cell>
        </row>
        <row r="187">
          <cell r="D187">
            <v>1</v>
          </cell>
        </row>
        <row r="188">
          <cell r="D188">
            <v>1</v>
          </cell>
        </row>
        <row r="189">
          <cell r="D189">
            <v>1</v>
          </cell>
        </row>
        <row r="194">
          <cell r="D194">
            <v>1</v>
          </cell>
        </row>
        <row r="195">
          <cell r="D195">
            <v>1</v>
          </cell>
        </row>
        <row r="196">
          <cell r="D196">
            <v>1</v>
          </cell>
        </row>
        <row r="197">
          <cell r="D197">
            <v>1</v>
          </cell>
        </row>
        <row r="198">
          <cell r="D198">
            <v>2</v>
          </cell>
        </row>
        <row r="199">
          <cell r="D199">
            <v>1</v>
          </cell>
        </row>
        <row r="200">
          <cell r="D200">
            <v>1</v>
          </cell>
        </row>
        <row r="201">
          <cell r="D201">
            <v>1</v>
          </cell>
        </row>
        <row r="202">
          <cell r="D202">
            <v>1</v>
          </cell>
        </row>
        <row r="203">
          <cell r="D203">
            <v>1</v>
          </cell>
        </row>
        <row r="204">
          <cell r="D204">
            <v>1</v>
          </cell>
        </row>
        <row r="205">
          <cell r="D205">
            <v>1</v>
          </cell>
        </row>
        <row r="206">
          <cell r="D206">
            <v>1</v>
          </cell>
        </row>
        <row r="207">
          <cell r="D207">
            <v>2</v>
          </cell>
        </row>
        <row r="209">
          <cell r="D209">
            <v>1</v>
          </cell>
        </row>
        <row r="210">
          <cell r="D210">
            <v>2</v>
          </cell>
        </row>
        <row r="211">
          <cell r="D211">
            <v>1</v>
          </cell>
        </row>
        <row r="212">
          <cell r="D212">
            <v>1</v>
          </cell>
        </row>
        <row r="213">
          <cell r="D213">
            <v>1</v>
          </cell>
        </row>
        <row r="214">
          <cell r="D214">
            <v>1</v>
          </cell>
        </row>
        <row r="215">
          <cell r="D215">
            <v>1</v>
          </cell>
        </row>
        <row r="216">
          <cell r="D216">
            <v>1</v>
          </cell>
        </row>
        <row r="217">
          <cell r="D217">
            <v>1</v>
          </cell>
        </row>
        <row r="219">
          <cell r="D219">
            <v>1</v>
          </cell>
        </row>
        <row r="220">
          <cell r="D220">
            <v>1</v>
          </cell>
        </row>
        <row r="221">
          <cell r="D221">
            <v>1</v>
          </cell>
        </row>
        <row r="222">
          <cell r="D222">
            <v>2</v>
          </cell>
        </row>
        <row r="223">
          <cell r="D223">
            <v>1</v>
          </cell>
        </row>
        <row r="224">
          <cell r="D224">
            <v>1</v>
          </cell>
        </row>
        <row r="225">
          <cell r="D225">
            <v>2</v>
          </cell>
        </row>
        <row r="226">
          <cell r="D226">
            <v>1</v>
          </cell>
        </row>
        <row r="227">
          <cell r="D227">
            <v>1</v>
          </cell>
        </row>
        <row r="228">
          <cell r="D228">
            <v>1</v>
          </cell>
        </row>
        <row r="230">
          <cell r="D230">
            <v>1</v>
          </cell>
        </row>
        <row r="231">
          <cell r="D231">
            <v>1</v>
          </cell>
        </row>
        <row r="232">
          <cell r="D232">
            <v>1</v>
          </cell>
        </row>
        <row r="233">
          <cell r="D233">
            <v>2</v>
          </cell>
        </row>
        <row r="234">
          <cell r="D234">
            <v>1</v>
          </cell>
        </row>
        <row r="235">
          <cell r="D235">
            <v>1</v>
          </cell>
        </row>
        <row r="236">
          <cell r="D236">
            <v>1</v>
          </cell>
        </row>
        <row r="237">
          <cell r="D237">
            <v>1</v>
          </cell>
        </row>
        <row r="238">
          <cell r="D238">
            <v>1</v>
          </cell>
        </row>
        <row r="239">
          <cell r="D239">
            <v>1</v>
          </cell>
        </row>
        <row r="240">
          <cell r="D240">
            <v>1</v>
          </cell>
        </row>
        <row r="241">
          <cell r="D241">
            <v>1</v>
          </cell>
        </row>
        <row r="244">
          <cell r="D244">
            <v>1</v>
          </cell>
        </row>
        <row r="245">
          <cell r="D245">
            <v>1</v>
          </cell>
        </row>
        <row r="246">
          <cell r="D246">
            <v>1</v>
          </cell>
        </row>
        <row r="247">
          <cell r="D247">
            <v>1</v>
          </cell>
        </row>
        <row r="248">
          <cell r="D248">
            <v>2</v>
          </cell>
        </row>
        <row r="251">
          <cell r="D251">
            <v>2</v>
          </cell>
        </row>
        <row r="252">
          <cell r="D252">
            <v>1</v>
          </cell>
        </row>
        <row r="253">
          <cell r="D253">
            <v>1</v>
          </cell>
        </row>
      </sheetData>
      <sheetData sheetId="2">
        <row r="4">
          <cell r="H4">
            <v>2</v>
          </cell>
        </row>
        <row r="5">
          <cell r="H5">
            <v>3</v>
          </cell>
        </row>
        <row r="7">
          <cell r="H7">
            <v>2</v>
          </cell>
        </row>
        <row r="8">
          <cell r="H8">
            <v>3</v>
          </cell>
        </row>
        <row r="10">
          <cell r="H10">
            <v>1</v>
          </cell>
        </row>
        <row r="11">
          <cell r="H11">
            <v>3</v>
          </cell>
        </row>
        <row r="12">
          <cell r="H12">
            <v>1</v>
          </cell>
        </row>
        <row r="14">
          <cell r="H14">
            <v>2</v>
          </cell>
        </row>
        <row r="15">
          <cell r="H15">
            <v>2</v>
          </cell>
        </row>
        <row r="16">
          <cell r="H16">
            <v>2</v>
          </cell>
        </row>
        <row r="17">
          <cell r="H17">
            <v>2</v>
          </cell>
        </row>
        <row r="18">
          <cell r="H18">
            <v>1</v>
          </cell>
        </row>
        <row r="19">
          <cell r="H19">
            <v>2</v>
          </cell>
        </row>
        <row r="20">
          <cell r="H20">
            <v>2</v>
          </cell>
        </row>
        <row r="21">
          <cell r="H21">
            <v>2</v>
          </cell>
        </row>
        <row r="22">
          <cell r="H22">
            <v>2</v>
          </cell>
        </row>
        <row r="23">
          <cell r="H23">
            <v>2</v>
          </cell>
        </row>
        <row r="24">
          <cell r="H24">
            <v>2</v>
          </cell>
        </row>
        <row r="25">
          <cell r="H25">
            <v>2</v>
          </cell>
        </row>
        <row r="26">
          <cell r="H26">
            <v>2</v>
          </cell>
        </row>
        <row r="27">
          <cell r="H27">
            <v>2</v>
          </cell>
        </row>
        <row r="28">
          <cell r="H28">
            <v>2</v>
          </cell>
        </row>
        <row r="29">
          <cell r="H29">
            <v>2</v>
          </cell>
        </row>
        <row r="30">
          <cell r="H30">
            <v>2</v>
          </cell>
        </row>
        <row r="31">
          <cell r="H31">
            <v>2</v>
          </cell>
        </row>
        <row r="33">
          <cell r="H33">
            <v>2</v>
          </cell>
        </row>
        <row r="34">
          <cell r="H34">
            <v>2</v>
          </cell>
        </row>
        <row r="36">
          <cell r="H36">
            <v>2</v>
          </cell>
        </row>
        <row r="38">
          <cell r="H38">
            <v>2</v>
          </cell>
        </row>
        <row r="39">
          <cell r="H39">
            <v>2</v>
          </cell>
        </row>
        <row r="40">
          <cell r="H40">
            <v>2</v>
          </cell>
        </row>
        <row r="41">
          <cell r="H41">
            <v>2</v>
          </cell>
        </row>
        <row r="42">
          <cell r="H42">
            <v>2</v>
          </cell>
        </row>
        <row r="43">
          <cell r="H43">
            <v>2</v>
          </cell>
        </row>
        <row r="44">
          <cell r="H44">
            <v>2</v>
          </cell>
        </row>
        <row r="45">
          <cell r="H45">
            <v>2</v>
          </cell>
        </row>
        <row r="46">
          <cell r="H46">
            <v>2</v>
          </cell>
        </row>
        <row r="47">
          <cell r="H47">
            <v>2</v>
          </cell>
        </row>
        <row r="48">
          <cell r="H48">
            <v>3</v>
          </cell>
        </row>
        <row r="49">
          <cell r="H49">
            <v>3</v>
          </cell>
        </row>
        <row r="50">
          <cell r="H50">
            <v>2</v>
          </cell>
        </row>
        <row r="51">
          <cell r="H51">
            <v>2</v>
          </cell>
        </row>
        <row r="54">
          <cell r="H54">
            <v>2</v>
          </cell>
        </row>
        <row r="55">
          <cell r="H55">
            <v>3</v>
          </cell>
        </row>
        <row r="56">
          <cell r="H56">
            <v>1</v>
          </cell>
        </row>
        <row r="57">
          <cell r="H57">
            <v>2</v>
          </cell>
        </row>
        <row r="58">
          <cell r="H58">
            <v>2</v>
          </cell>
        </row>
        <row r="59">
          <cell r="H59">
            <v>2</v>
          </cell>
        </row>
        <row r="60">
          <cell r="H60">
            <v>2</v>
          </cell>
        </row>
        <row r="62">
          <cell r="H62">
            <v>2</v>
          </cell>
        </row>
        <row r="63">
          <cell r="H63">
            <v>1</v>
          </cell>
        </row>
        <row r="64">
          <cell r="H64">
            <v>3</v>
          </cell>
        </row>
        <row r="65">
          <cell r="H65">
            <v>1</v>
          </cell>
        </row>
        <row r="66">
          <cell r="H66">
            <v>2</v>
          </cell>
        </row>
        <row r="67">
          <cell r="H67">
            <v>2</v>
          </cell>
        </row>
        <row r="68">
          <cell r="H68">
            <v>2</v>
          </cell>
        </row>
        <row r="69">
          <cell r="H69">
            <v>2</v>
          </cell>
        </row>
        <row r="70">
          <cell r="H70">
            <v>2</v>
          </cell>
        </row>
        <row r="71">
          <cell r="H71">
            <v>2</v>
          </cell>
        </row>
        <row r="72">
          <cell r="H72">
            <v>3</v>
          </cell>
        </row>
        <row r="73">
          <cell r="H73">
            <v>2</v>
          </cell>
        </row>
        <row r="74">
          <cell r="H74">
            <v>1</v>
          </cell>
        </row>
        <row r="75">
          <cell r="H75">
            <v>2</v>
          </cell>
        </row>
        <row r="78">
          <cell r="H78">
            <v>2</v>
          </cell>
        </row>
        <row r="79">
          <cell r="H79">
            <v>1</v>
          </cell>
        </row>
        <row r="80">
          <cell r="H80">
            <v>1</v>
          </cell>
        </row>
        <row r="84">
          <cell r="H84">
            <v>3</v>
          </cell>
        </row>
        <row r="85">
          <cell r="H85">
            <v>2</v>
          </cell>
        </row>
        <row r="86">
          <cell r="H86">
            <v>2</v>
          </cell>
        </row>
        <row r="87">
          <cell r="H87">
            <v>2</v>
          </cell>
        </row>
        <row r="88">
          <cell r="H88">
            <v>2</v>
          </cell>
        </row>
        <row r="90">
          <cell r="H90">
            <v>1</v>
          </cell>
        </row>
        <row r="92">
          <cell r="H92">
            <v>2</v>
          </cell>
        </row>
        <row r="95">
          <cell r="H95">
            <v>2</v>
          </cell>
        </row>
        <row r="97">
          <cell r="H97">
            <v>2</v>
          </cell>
        </row>
        <row r="98">
          <cell r="H98">
            <v>3</v>
          </cell>
        </row>
        <row r="99">
          <cell r="H99">
            <v>2</v>
          </cell>
        </row>
        <row r="100">
          <cell r="H100">
            <v>3</v>
          </cell>
        </row>
        <row r="102">
          <cell r="H102">
            <v>2</v>
          </cell>
        </row>
        <row r="103">
          <cell r="H103">
            <v>2</v>
          </cell>
        </row>
        <row r="104">
          <cell r="H104">
            <v>2</v>
          </cell>
        </row>
        <row r="105">
          <cell r="H105">
            <v>1</v>
          </cell>
        </row>
        <row r="106">
          <cell r="H106">
            <v>2</v>
          </cell>
        </row>
        <row r="107">
          <cell r="H107">
            <v>2</v>
          </cell>
        </row>
        <row r="108">
          <cell r="H108">
            <v>3</v>
          </cell>
        </row>
        <row r="109">
          <cell r="H109">
            <v>3</v>
          </cell>
        </row>
        <row r="110">
          <cell r="H110">
            <v>2</v>
          </cell>
        </row>
        <row r="112">
          <cell r="H112">
            <v>1</v>
          </cell>
        </row>
        <row r="113">
          <cell r="H113">
            <v>2</v>
          </cell>
        </row>
        <row r="114">
          <cell r="H114">
            <v>2</v>
          </cell>
        </row>
        <row r="115">
          <cell r="H115">
            <v>2</v>
          </cell>
        </row>
        <row r="117">
          <cell r="H117">
            <v>2</v>
          </cell>
        </row>
        <row r="118">
          <cell r="H118">
            <v>2</v>
          </cell>
        </row>
        <row r="119">
          <cell r="H119">
            <v>2</v>
          </cell>
        </row>
        <row r="120">
          <cell r="H120">
            <v>1</v>
          </cell>
        </row>
        <row r="121">
          <cell r="H121">
            <v>2</v>
          </cell>
        </row>
        <row r="122">
          <cell r="H122">
            <v>2</v>
          </cell>
        </row>
        <row r="123">
          <cell r="H123">
            <v>3</v>
          </cell>
        </row>
        <row r="124">
          <cell r="H124">
            <v>2</v>
          </cell>
        </row>
        <row r="125">
          <cell r="H125">
            <v>2</v>
          </cell>
        </row>
        <row r="126">
          <cell r="H126">
            <v>2</v>
          </cell>
        </row>
        <row r="127">
          <cell r="H127">
            <v>3</v>
          </cell>
        </row>
        <row r="128">
          <cell r="H128">
            <v>3</v>
          </cell>
        </row>
        <row r="129">
          <cell r="H129">
            <v>2</v>
          </cell>
        </row>
        <row r="130">
          <cell r="H130">
            <v>1</v>
          </cell>
        </row>
        <row r="131">
          <cell r="H131">
            <v>1</v>
          </cell>
        </row>
        <row r="133">
          <cell r="H133">
            <v>2</v>
          </cell>
        </row>
        <row r="134">
          <cell r="H134">
            <v>2</v>
          </cell>
        </row>
        <row r="135">
          <cell r="H135">
            <v>3</v>
          </cell>
        </row>
        <row r="136">
          <cell r="H136">
            <v>2</v>
          </cell>
        </row>
        <row r="137">
          <cell r="H137">
            <v>2</v>
          </cell>
        </row>
        <row r="138">
          <cell r="H138">
            <v>2</v>
          </cell>
        </row>
        <row r="139">
          <cell r="H139">
            <v>3</v>
          </cell>
        </row>
        <row r="140">
          <cell r="H140">
            <v>2</v>
          </cell>
        </row>
        <row r="141">
          <cell r="H141">
            <v>2</v>
          </cell>
        </row>
        <row r="143">
          <cell r="H143">
            <v>2</v>
          </cell>
        </row>
        <row r="144">
          <cell r="H144">
            <v>2</v>
          </cell>
        </row>
        <row r="146">
          <cell r="H146">
            <v>2</v>
          </cell>
        </row>
        <row r="147">
          <cell r="H147">
            <v>1</v>
          </cell>
        </row>
        <row r="148">
          <cell r="H148">
            <v>2</v>
          </cell>
        </row>
        <row r="149">
          <cell r="H149">
            <v>2</v>
          </cell>
        </row>
        <row r="150">
          <cell r="H150">
            <v>2</v>
          </cell>
        </row>
        <row r="151">
          <cell r="H151">
            <v>2</v>
          </cell>
        </row>
        <row r="153">
          <cell r="H153">
            <v>2</v>
          </cell>
        </row>
        <row r="154">
          <cell r="H154">
            <v>3</v>
          </cell>
        </row>
        <row r="155">
          <cell r="H155">
            <v>3</v>
          </cell>
        </row>
        <row r="156">
          <cell r="H156">
            <v>2</v>
          </cell>
        </row>
        <row r="157">
          <cell r="H157">
            <v>2</v>
          </cell>
        </row>
        <row r="158">
          <cell r="H158">
            <v>2</v>
          </cell>
        </row>
        <row r="159">
          <cell r="H159">
            <v>2</v>
          </cell>
        </row>
        <row r="162">
          <cell r="H162">
            <v>1</v>
          </cell>
        </row>
        <row r="163">
          <cell r="H163">
            <v>2</v>
          </cell>
        </row>
        <row r="164">
          <cell r="H164">
            <v>2</v>
          </cell>
        </row>
        <row r="165">
          <cell r="H165">
            <v>2</v>
          </cell>
        </row>
        <row r="168">
          <cell r="H168">
            <v>3</v>
          </cell>
        </row>
        <row r="170">
          <cell r="H170">
            <v>1</v>
          </cell>
        </row>
        <row r="171">
          <cell r="H171">
            <v>2</v>
          </cell>
        </row>
        <row r="172">
          <cell r="H172">
            <v>2</v>
          </cell>
        </row>
        <row r="173">
          <cell r="H173">
            <v>2</v>
          </cell>
        </row>
        <row r="175">
          <cell r="H175">
            <v>2</v>
          </cell>
        </row>
        <row r="176">
          <cell r="H176">
            <v>2</v>
          </cell>
        </row>
        <row r="177">
          <cell r="H177">
            <v>2</v>
          </cell>
        </row>
        <row r="178">
          <cell r="H178">
            <v>2</v>
          </cell>
        </row>
        <row r="179">
          <cell r="H179">
            <v>2</v>
          </cell>
        </row>
        <row r="181">
          <cell r="H181">
            <v>2</v>
          </cell>
        </row>
        <row r="182">
          <cell r="H182">
            <v>2</v>
          </cell>
        </row>
        <row r="183">
          <cell r="H183">
            <v>2</v>
          </cell>
        </row>
        <row r="184">
          <cell r="H184">
            <v>2</v>
          </cell>
        </row>
        <row r="185">
          <cell r="H185">
            <v>3</v>
          </cell>
        </row>
        <row r="188">
          <cell r="H188">
            <v>2</v>
          </cell>
        </row>
        <row r="189">
          <cell r="H189">
            <v>2</v>
          </cell>
        </row>
        <row r="190">
          <cell r="H190">
            <v>2</v>
          </cell>
        </row>
        <row r="195">
          <cell r="H195">
            <v>2</v>
          </cell>
        </row>
        <row r="196">
          <cell r="H196">
            <v>1</v>
          </cell>
        </row>
        <row r="197">
          <cell r="H197">
            <v>3</v>
          </cell>
        </row>
        <row r="198">
          <cell r="H198">
            <v>2</v>
          </cell>
        </row>
        <row r="199">
          <cell r="H199">
            <v>2</v>
          </cell>
        </row>
        <row r="200">
          <cell r="H200">
            <v>2</v>
          </cell>
        </row>
        <row r="201">
          <cell r="H201">
            <v>2</v>
          </cell>
        </row>
        <row r="202">
          <cell r="H202">
            <v>3</v>
          </cell>
        </row>
        <row r="203">
          <cell r="H203">
            <v>2</v>
          </cell>
        </row>
        <row r="204">
          <cell r="H204">
            <v>2</v>
          </cell>
        </row>
        <row r="205">
          <cell r="H205">
            <v>1</v>
          </cell>
        </row>
        <row r="206">
          <cell r="H206">
            <v>2</v>
          </cell>
        </row>
        <row r="207">
          <cell r="H207">
            <v>3</v>
          </cell>
        </row>
        <row r="208">
          <cell r="H208">
            <v>2</v>
          </cell>
        </row>
        <row r="210">
          <cell r="H210">
            <v>2</v>
          </cell>
        </row>
        <row r="211">
          <cell r="H211">
            <v>3</v>
          </cell>
        </row>
        <row r="212">
          <cell r="H212">
            <v>1</v>
          </cell>
        </row>
        <row r="213">
          <cell r="H213">
            <v>2</v>
          </cell>
        </row>
        <row r="214">
          <cell r="H214">
            <v>2</v>
          </cell>
        </row>
        <row r="215">
          <cell r="H215">
            <v>2</v>
          </cell>
        </row>
        <row r="216">
          <cell r="H216">
            <v>2</v>
          </cell>
        </row>
        <row r="217">
          <cell r="H217">
            <v>2</v>
          </cell>
        </row>
        <row r="218">
          <cell r="H218">
            <v>2</v>
          </cell>
        </row>
        <row r="220">
          <cell r="H220">
            <v>2</v>
          </cell>
        </row>
        <row r="221">
          <cell r="H221">
            <v>1</v>
          </cell>
        </row>
        <row r="222">
          <cell r="H222">
            <v>2</v>
          </cell>
        </row>
        <row r="223">
          <cell r="H223">
            <v>2</v>
          </cell>
        </row>
        <row r="224">
          <cell r="H224">
            <v>2</v>
          </cell>
        </row>
        <row r="225">
          <cell r="H225">
            <v>2</v>
          </cell>
        </row>
        <row r="226">
          <cell r="H226">
            <v>2</v>
          </cell>
        </row>
        <row r="227">
          <cell r="H227">
            <v>2</v>
          </cell>
        </row>
        <row r="228">
          <cell r="H228">
            <v>2</v>
          </cell>
        </row>
        <row r="229">
          <cell r="H229">
            <v>2</v>
          </cell>
        </row>
        <row r="231">
          <cell r="H231">
            <v>2</v>
          </cell>
        </row>
        <row r="232">
          <cell r="H232">
            <v>2</v>
          </cell>
        </row>
        <row r="233">
          <cell r="H233">
            <v>2</v>
          </cell>
        </row>
        <row r="234">
          <cell r="H234">
            <v>2</v>
          </cell>
        </row>
        <row r="235">
          <cell r="H235">
            <v>2</v>
          </cell>
        </row>
        <row r="236">
          <cell r="H236">
            <v>2</v>
          </cell>
        </row>
        <row r="238">
          <cell r="H238">
            <v>2</v>
          </cell>
        </row>
        <row r="239">
          <cell r="H239">
            <v>2</v>
          </cell>
        </row>
        <row r="240">
          <cell r="H240">
            <v>1</v>
          </cell>
        </row>
        <row r="241">
          <cell r="H241">
            <v>2</v>
          </cell>
        </row>
        <row r="242">
          <cell r="H242">
            <v>2</v>
          </cell>
        </row>
        <row r="245">
          <cell r="H245">
            <v>2</v>
          </cell>
        </row>
        <row r="246">
          <cell r="H246">
            <v>2</v>
          </cell>
        </row>
        <row r="248">
          <cell r="H248">
            <v>3</v>
          </cell>
        </row>
        <row r="249">
          <cell r="H249">
            <v>2</v>
          </cell>
        </row>
        <row r="252">
          <cell r="H252">
            <v>3</v>
          </cell>
        </row>
        <row r="253">
          <cell r="H253">
            <v>2</v>
          </cell>
        </row>
        <row r="254">
          <cell r="H254">
            <v>2</v>
          </cell>
        </row>
      </sheetData>
      <sheetData sheetId="3"/>
      <sheetData sheetId="4"/>
      <sheetData sheetId="5"/>
      <sheetData sheetId="6"/>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8D57F2-30E1-4EEB-BCDF-B93C368EAC94}">
  <sheetPr codeName="Sheet10"/>
  <dimension ref="A1:O8"/>
  <sheetViews>
    <sheetView showGridLines="0" zoomScale="70" zoomScaleNormal="70" workbookViewId="0">
      <selection activeCell="R7" sqref="R7"/>
    </sheetView>
  </sheetViews>
  <sheetFormatPr defaultColWidth="9.140625" defaultRowHeight="15" x14ac:dyDescent="0.25"/>
  <cols>
    <col min="1" max="16384" width="9.140625" style="9"/>
  </cols>
  <sheetData>
    <row r="1" spans="1:15" x14ac:dyDescent="0.25">
      <c r="A1" s="267" t="s">
        <v>275</v>
      </c>
      <c r="B1" s="268"/>
      <c r="C1" s="277" t="s">
        <v>1301</v>
      </c>
      <c r="D1" s="278"/>
      <c r="E1" s="278"/>
      <c r="F1" s="278"/>
      <c r="G1" s="278"/>
      <c r="H1" s="278"/>
      <c r="I1" s="278"/>
      <c r="J1" s="278"/>
      <c r="K1" s="278"/>
      <c r="L1" s="278"/>
      <c r="M1" s="278"/>
      <c r="N1" s="278"/>
      <c r="O1" s="279"/>
    </row>
    <row r="2" spans="1:15" ht="58.5" customHeight="1" thickBot="1" x14ac:dyDescent="0.3">
      <c r="A2" s="269"/>
      <c r="B2" s="270"/>
      <c r="C2" s="280"/>
      <c r="D2" s="281"/>
      <c r="E2" s="281"/>
      <c r="F2" s="281"/>
      <c r="G2" s="281"/>
      <c r="H2" s="281"/>
      <c r="I2" s="281"/>
      <c r="J2" s="281"/>
      <c r="K2" s="281"/>
      <c r="L2" s="281"/>
      <c r="M2" s="281"/>
      <c r="N2" s="281"/>
      <c r="O2" s="282"/>
    </row>
    <row r="3" spans="1:15" x14ac:dyDescent="0.25">
      <c r="A3" s="267" t="s">
        <v>277</v>
      </c>
      <c r="B3" s="268"/>
      <c r="C3" s="277" t="s">
        <v>299</v>
      </c>
      <c r="D3" s="283"/>
      <c r="E3" s="283"/>
      <c r="F3" s="283"/>
      <c r="G3" s="283"/>
      <c r="H3" s="283"/>
      <c r="I3" s="283"/>
      <c r="J3" s="283"/>
      <c r="K3" s="283"/>
      <c r="L3" s="283"/>
      <c r="M3" s="283"/>
      <c r="N3" s="283"/>
      <c r="O3" s="284"/>
    </row>
    <row r="4" spans="1:15" ht="73.5" customHeight="1" thickBot="1" x14ac:dyDescent="0.3">
      <c r="A4" s="269"/>
      <c r="B4" s="270"/>
      <c r="C4" s="285"/>
      <c r="D4" s="286"/>
      <c r="E4" s="286"/>
      <c r="F4" s="286"/>
      <c r="G4" s="286"/>
      <c r="H4" s="286"/>
      <c r="I4" s="286"/>
      <c r="J4" s="286"/>
      <c r="K4" s="286"/>
      <c r="L4" s="286"/>
      <c r="M4" s="286"/>
      <c r="N4" s="286"/>
      <c r="O4" s="287"/>
    </row>
    <row r="5" spans="1:15" x14ac:dyDescent="0.25">
      <c r="A5" s="288" t="s">
        <v>1219</v>
      </c>
      <c r="B5" s="268"/>
      <c r="C5" s="271" t="s">
        <v>1302</v>
      </c>
      <c r="D5" s="272"/>
      <c r="E5" s="272"/>
      <c r="F5" s="272"/>
      <c r="G5" s="272"/>
      <c r="H5" s="272"/>
      <c r="I5" s="272"/>
      <c r="J5" s="272"/>
      <c r="K5" s="272"/>
      <c r="L5" s="272"/>
      <c r="M5" s="272"/>
      <c r="N5" s="272"/>
      <c r="O5" s="273"/>
    </row>
    <row r="6" spans="1:15" ht="134.1" customHeight="1" thickBot="1" x14ac:dyDescent="0.3">
      <c r="A6" s="269"/>
      <c r="B6" s="270"/>
      <c r="C6" s="274"/>
      <c r="D6" s="275"/>
      <c r="E6" s="275"/>
      <c r="F6" s="275"/>
      <c r="G6" s="275"/>
      <c r="H6" s="275"/>
      <c r="I6" s="275"/>
      <c r="J6" s="275"/>
      <c r="K6" s="275"/>
      <c r="L6" s="275"/>
      <c r="M6" s="275"/>
      <c r="N6" s="275"/>
      <c r="O6" s="276"/>
    </row>
    <row r="7" spans="1:15" x14ac:dyDescent="0.25">
      <c r="A7" s="267" t="s">
        <v>276</v>
      </c>
      <c r="B7" s="268"/>
      <c r="C7" s="271" t="s">
        <v>300</v>
      </c>
      <c r="D7" s="272"/>
      <c r="E7" s="272"/>
      <c r="F7" s="272"/>
      <c r="G7" s="272"/>
      <c r="H7" s="272"/>
      <c r="I7" s="272"/>
      <c r="J7" s="272"/>
      <c r="K7" s="272"/>
      <c r="L7" s="272"/>
      <c r="M7" s="272"/>
      <c r="N7" s="272"/>
      <c r="O7" s="273"/>
    </row>
    <row r="8" spans="1:15" ht="15.75" thickBot="1" x14ac:dyDescent="0.3">
      <c r="A8" s="269"/>
      <c r="B8" s="270"/>
      <c r="C8" s="274"/>
      <c r="D8" s="275"/>
      <c r="E8" s="275"/>
      <c r="F8" s="275"/>
      <c r="G8" s="275"/>
      <c r="H8" s="275"/>
      <c r="I8" s="275"/>
      <c r="J8" s="275"/>
      <c r="K8" s="275"/>
      <c r="L8" s="275"/>
      <c r="M8" s="275"/>
      <c r="N8" s="275"/>
      <c r="O8" s="276"/>
    </row>
  </sheetData>
  <mergeCells count="8">
    <mergeCell ref="A7:B8"/>
    <mergeCell ref="C7:O8"/>
    <mergeCell ref="A1:B2"/>
    <mergeCell ref="C1:O2"/>
    <mergeCell ref="A3:B4"/>
    <mergeCell ref="C3:O4"/>
    <mergeCell ref="A5:B6"/>
    <mergeCell ref="C5:O6"/>
  </mergeCells>
  <pageMargins left="0.7" right="0.7" top="0.75" bottom="0.75" header="0.3" footer="0.3"/>
  <pageSetup orientation="portrait" horizontalDpi="200" verticalDpi="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D7013-3691-4FF5-B31C-FD3486B93F49}">
  <sheetPr codeName="Sheet1">
    <pageSetUpPr fitToPage="1"/>
  </sheetPr>
  <dimension ref="A1:F97"/>
  <sheetViews>
    <sheetView showGridLines="0" topLeftCell="A13" zoomScale="65" zoomScaleNormal="65" workbookViewId="0">
      <selection activeCell="B33" sqref="B33"/>
    </sheetView>
  </sheetViews>
  <sheetFormatPr defaultColWidth="9.140625" defaultRowHeight="13.5" x14ac:dyDescent="0.25"/>
  <cols>
    <col min="1" max="1" width="56.28515625" style="10" bestFit="1" customWidth="1"/>
    <col min="2" max="2" width="55.28515625" style="10" customWidth="1"/>
    <col min="3" max="3" width="9.140625" style="10"/>
    <col min="4" max="4" width="51.42578125" style="10" bestFit="1" customWidth="1"/>
    <col min="5" max="5" width="90.7109375" style="10" bestFit="1" customWidth="1"/>
    <col min="6" max="6" width="90.5703125" style="10" customWidth="1"/>
    <col min="7" max="16384" width="9.140625" style="10"/>
  </cols>
  <sheetData>
    <row r="1" spans="1:5" x14ac:dyDescent="0.25">
      <c r="A1" s="312"/>
      <c r="B1" s="312"/>
      <c r="C1" s="312"/>
      <c r="D1" s="312"/>
      <c r="E1" s="312"/>
    </row>
    <row r="2" spans="1:5" ht="14.25" thickBot="1" x14ac:dyDescent="0.3">
      <c r="A2" s="312"/>
      <c r="B2" s="312"/>
      <c r="C2" s="312"/>
      <c r="D2" s="312"/>
      <c r="E2" s="312"/>
    </row>
    <row r="3" spans="1:5" ht="14.25" thickBot="1" x14ac:dyDescent="0.3">
      <c r="A3" s="292" t="s">
        <v>1296</v>
      </c>
      <c r="B3" s="293"/>
      <c r="C3" s="293"/>
      <c r="D3" s="293"/>
      <c r="E3" s="294"/>
    </row>
    <row r="4" spans="1:5" x14ac:dyDescent="0.25">
      <c r="A4" s="187"/>
      <c r="B4" s="259"/>
      <c r="C4" s="188"/>
      <c r="D4" s="188"/>
      <c r="E4" s="189"/>
    </row>
    <row r="5" spans="1:5" x14ac:dyDescent="0.25">
      <c r="A5" s="187" t="s">
        <v>417</v>
      </c>
      <c r="B5" s="190" t="s">
        <v>1440</v>
      </c>
      <c r="C5" s="188"/>
      <c r="D5" s="191" t="s">
        <v>1340</v>
      </c>
      <c r="E5" s="192" t="s">
        <v>1437</v>
      </c>
    </row>
    <row r="6" spans="1:5" x14ac:dyDescent="0.25">
      <c r="A6" s="187" t="s">
        <v>418</v>
      </c>
      <c r="B6" s="190" t="s">
        <v>1435</v>
      </c>
      <c r="C6" s="188"/>
      <c r="D6" s="191"/>
      <c r="E6" s="189"/>
    </row>
    <row r="7" spans="1:5" x14ac:dyDescent="0.25">
      <c r="A7" s="187" t="s">
        <v>1227</v>
      </c>
      <c r="B7" s="193"/>
      <c r="C7" s="194"/>
      <c r="D7" s="295" t="s">
        <v>1419</v>
      </c>
      <c r="E7" s="296"/>
    </row>
    <row r="8" spans="1:5" x14ac:dyDescent="0.25">
      <c r="A8" s="187" t="s">
        <v>419</v>
      </c>
      <c r="B8" s="193" t="s">
        <v>1436</v>
      </c>
      <c r="C8" s="194"/>
      <c r="D8" s="315"/>
      <c r="E8" s="316"/>
    </row>
    <row r="9" spans="1:5" ht="13.5" customHeight="1" x14ac:dyDescent="0.25">
      <c r="A9" s="195" t="s">
        <v>112</v>
      </c>
      <c r="B9" s="190" t="s">
        <v>1413</v>
      </c>
      <c r="C9" s="194"/>
      <c r="D9" s="317"/>
      <c r="E9" s="318"/>
    </row>
    <row r="10" spans="1:5" x14ac:dyDescent="0.25">
      <c r="A10" s="195" t="s">
        <v>420</v>
      </c>
      <c r="B10" s="190" t="s">
        <v>1232</v>
      </c>
      <c r="C10" s="194"/>
      <c r="D10" s="317"/>
      <c r="E10" s="318"/>
    </row>
    <row r="11" spans="1:5" x14ac:dyDescent="0.25">
      <c r="A11" s="187" t="s">
        <v>113</v>
      </c>
      <c r="B11" s="190" t="s">
        <v>278</v>
      </c>
      <c r="C11" s="194"/>
      <c r="D11" s="317"/>
      <c r="E11" s="318"/>
    </row>
    <row r="12" spans="1:5" x14ac:dyDescent="0.25">
      <c r="A12" s="187" t="s">
        <v>1429</v>
      </c>
      <c r="B12" s="190" t="s">
        <v>416</v>
      </c>
      <c r="C12" s="194"/>
      <c r="D12" s="317"/>
      <c r="E12" s="318"/>
    </row>
    <row r="13" spans="1:5" x14ac:dyDescent="0.25">
      <c r="A13" s="187" t="s">
        <v>114</v>
      </c>
      <c r="B13" s="190" t="s">
        <v>32</v>
      </c>
      <c r="C13" s="194"/>
      <c r="D13" s="317"/>
      <c r="E13" s="318"/>
    </row>
    <row r="14" spans="1:5" x14ac:dyDescent="0.25">
      <c r="A14" s="187" t="s">
        <v>115</v>
      </c>
      <c r="B14" s="190" t="s">
        <v>32</v>
      </c>
      <c r="C14" s="194"/>
      <c r="D14" s="317"/>
      <c r="E14" s="318"/>
    </row>
    <row r="15" spans="1:5" x14ac:dyDescent="0.25">
      <c r="A15" s="187" t="s">
        <v>116</v>
      </c>
      <c r="B15" s="190" t="s">
        <v>32</v>
      </c>
      <c r="C15" s="194"/>
      <c r="D15" s="317"/>
      <c r="E15" s="318"/>
    </row>
    <row r="16" spans="1:5" x14ac:dyDescent="0.25">
      <c r="A16" s="187" t="s">
        <v>1420</v>
      </c>
      <c r="B16" s="190" t="s">
        <v>32</v>
      </c>
      <c r="C16" s="194"/>
      <c r="D16" s="317"/>
      <c r="E16" s="318"/>
    </row>
    <row r="17" spans="1:6" x14ac:dyDescent="0.25">
      <c r="A17" s="187" t="s">
        <v>1421</v>
      </c>
      <c r="B17" s="190" t="s">
        <v>32</v>
      </c>
      <c r="C17" s="194"/>
      <c r="D17" s="317"/>
      <c r="E17" s="318"/>
    </row>
    <row r="18" spans="1:6" x14ac:dyDescent="0.25">
      <c r="A18" s="187" t="s">
        <v>421</v>
      </c>
      <c r="B18" s="190" t="s">
        <v>258</v>
      </c>
      <c r="C18" s="194"/>
      <c r="D18" s="317"/>
      <c r="E18" s="318"/>
    </row>
    <row r="19" spans="1:6" x14ac:dyDescent="0.25">
      <c r="A19" s="187" t="s">
        <v>117</v>
      </c>
      <c r="B19" s="190" t="s">
        <v>1415</v>
      </c>
      <c r="C19" s="194"/>
      <c r="D19" s="319"/>
      <c r="E19" s="320"/>
    </row>
    <row r="20" spans="1:6" x14ac:dyDescent="0.25">
      <c r="A20" s="187" t="s">
        <v>1304</v>
      </c>
      <c r="B20" s="190" t="s">
        <v>1236</v>
      </c>
      <c r="C20" s="194"/>
      <c r="E20" s="238"/>
    </row>
    <row r="21" spans="1:6" ht="22.5" customHeight="1" thickBot="1" x14ac:dyDescent="0.3">
      <c r="A21" s="220"/>
      <c r="B21" s="208"/>
      <c r="C21" s="209"/>
      <c r="D21" s="209"/>
      <c r="E21" s="210"/>
    </row>
    <row r="22" spans="1:6" ht="14.25" thickBot="1" x14ac:dyDescent="0.3">
      <c r="A22" s="292" t="s">
        <v>1295</v>
      </c>
      <c r="B22" s="293"/>
      <c r="C22" s="293"/>
      <c r="D22" s="293"/>
      <c r="E22" s="294"/>
    </row>
    <row r="23" spans="1:6" x14ac:dyDescent="0.25">
      <c r="A23" s="187"/>
      <c r="B23" s="194"/>
      <c r="C23" s="188"/>
      <c r="D23" s="188"/>
      <c r="E23" s="189"/>
    </row>
    <row r="24" spans="1:6" x14ac:dyDescent="0.25">
      <c r="A24" s="187" t="s">
        <v>5</v>
      </c>
      <c r="B24" s="190" t="s">
        <v>294</v>
      </c>
      <c r="C24" s="246"/>
      <c r="D24" s="295" t="s">
        <v>1419</v>
      </c>
      <c r="E24" s="296"/>
    </row>
    <row r="25" spans="1:6" ht="13.5" customHeight="1" x14ac:dyDescent="0.25">
      <c r="A25" s="187" t="s">
        <v>247</v>
      </c>
      <c r="B25" s="190" t="s">
        <v>596</v>
      </c>
      <c r="C25" s="246"/>
      <c r="D25" s="313"/>
      <c r="E25" s="314"/>
      <c r="F25" s="34"/>
    </row>
    <row r="26" spans="1:6" ht="15" customHeight="1" x14ac:dyDescent="0.25">
      <c r="A26" s="187" t="s">
        <v>298</v>
      </c>
      <c r="B26" s="190" t="s">
        <v>451</v>
      </c>
      <c r="C26" s="246"/>
      <c r="D26" s="313"/>
      <c r="E26" s="314"/>
    </row>
    <row r="27" spans="1:6" ht="15" customHeight="1" x14ac:dyDescent="0.25">
      <c r="A27" s="187" t="s">
        <v>1240</v>
      </c>
      <c r="B27" s="190" t="s">
        <v>1220</v>
      </c>
      <c r="C27" s="246"/>
      <c r="D27" s="313"/>
      <c r="E27" s="314"/>
    </row>
    <row r="28" spans="1:6" ht="15" customHeight="1" x14ac:dyDescent="0.25">
      <c r="A28" s="187"/>
      <c r="C28" s="246"/>
      <c r="D28" s="313"/>
      <c r="E28" s="314"/>
    </row>
    <row r="29" spans="1:6" ht="15" customHeight="1" x14ac:dyDescent="0.25">
      <c r="A29" s="187"/>
      <c r="C29" s="246"/>
      <c r="D29" s="313"/>
      <c r="E29" s="314"/>
    </row>
    <row r="30" spans="1:6" ht="15" customHeight="1" x14ac:dyDescent="0.25">
      <c r="A30" s="187"/>
      <c r="C30" s="246"/>
      <c r="D30" s="313"/>
      <c r="E30" s="314"/>
    </row>
    <row r="31" spans="1:6" ht="15" customHeight="1" x14ac:dyDescent="0.25">
      <c r="A31" s="187"/>
      <c r="C31" s="246"/>
      <c r="D31" s="313"/>
      <c r="E31" s="314"/>
    </row>
    <row r="32" spans="1:6" ht="15" customHeight="1" x14ac:dyDescent="0.25">
      <c r="A32" s="187"/>
      <c r="C32" s="246"/>
      <c r="D32" s="313"/>
      <c r="E32" s="314"/>
    </row>
    <row r="33" spans="1:5" ht="15" customHeight="1" x14ac:dyDescent="0.25">
      <c r="A33" s="187"/>
      <c r="C33" s="246"/>
      <c r="D33" s="313"/>
      <c r="E33" s="314"/>
    </row>
    <row r="34" spans="1:5" ht="15" customHeight="1" x14ac:dyDescent="0.25">
      <c r="A34" s="187"/>
      <c r="C34" s="246"/>
      <c r="D34" s="313"/>
      <c r="E34" s="314"/>
    </row>
    <row r="35" spans="1:5" ht="15" customHeight="1" x14ac:dyDescent="0.25">
      <c r="A35" s="187"/>
      <c r="C35" s="246"/>
      <c r="D35" s="313"/>
      <c r="E35" s="314"/>
    </row>
    <row r="36" spans="1:5" ht="15" customHeight="1" x14ac:dyDescent="0.25">
      <c r="A36" s="187"/>
      <c r="C36" s="246"/>
      <c r="D36" s="313"/>
      <c r="E36" s="314"/>
    </row>
    <row r="37" spans="1:5" ht="15" customHeight="1" x14ac:dyDescent="0.25">
      <c r="A37" s="187"/>
      <c r="C37" s="246"/>
      <c r="D37" s="313"/>
      <c r="E37" s="314"/>
    </row>
    <row r="38" spans="1:5" ht="15" customHeight="1" x14ac:dyDescent="0.25">
      <c r="A38" s="187"/>
      <c r="C38" s="246"/>
      <c r="D38" s="313"/>
      <c r="E38" s="314"/>
    </row>
    <row r="39" spans="1:5" x14ac:dyDescent="0.25">
      <c r="A39" s="187"/>
      <c r="C39" s="246"/>
      <c r="D39" s="313"/>
      <c r="E39" s="314"/>
    </row>
    <row r="40" spans="1:5" ht="14.25" thickBot="1" x14ac:dyDescent="0.3">
      <c r="A40" s="187"/>
      <c r="B40" s="194"/>
      <c r="C40" s="188"/>
      <c r="D40" s="188"/>
      <c r="E40" s="189"/>
    </row>
    <row r="41" spans="1:5" ht="14.25" thickBot="1" x14ac:dyDescent="0.3">
      <c r="A41" s="292" t="s">
        <v>1294</v>
      </c>
      <c r="B41" s="293"/>
      <c r="C41" s="293"/>
      <c r="D41" s="293"/>
      <c r="E41" s="294"/>
    </row>
    <row r="42" spans="1:5" x14ac:dyDescent="0.25">
      <c r="A42" s="196"/>
      <c r="B42" s="194"/>
      <c r="C42" s="188"/>
      <c r="D42" s="188"/>
      <c r="E42" s="197" t="s">
        <v>1399</v>
      </c>
    </row>
    <row r="43" spans="1:5" x14ac:dyDescent="0.25">
      <c r="A43" s="187" t="s">
        <v>1395</v>
      </c>
      <c r="B43" s="289" t="s">
        <v>1253</v>
      </c>
      <c r="C43" s="290"/>
      <c r="D43" s="291"/>
      <c r="E43" s="265"/>
    </row>
    <row r="44" spans="1:5" ht="99" customHeight="1" x14ac:dyDescent="0.25">
      <c r="A44" s="187" t="s">
        <v>1396</v>
      </c>
      <c r="B44" s="289" t="s">
        <v>1404</v>
      </c>
      <c r="C44" s="290"/>
      <c r="D44" s="291"/>
      <c r="E44" s="266"/>
    </row>
    <row r="45" spans="1:5" ht="14.25" thickBot="1" x14ac:dyDescent="0.3">
      <c r="A45" s="199"/>
      <c r="B45" s="194"/>
      <c r="C45" s="188"/>
      <c r="D45" s="188"/>
      <c r="E45" s="189"/>
    </row>
    <row r="46" spans="1:5" ht="14.25" thickBot="1" x14ac:dyDescent="0.3">
      <c r="A46" s="292" t="s">
        <v>261</v>
      </c>
      <c r="B46" s="293"/>
      <c r="C46" s="293"/>
      <c r="D46" s="293"/>
      <c r="E46" s="294"/>
    </row>
    <row r="47" spans="1:5" x14ac:dyDescent="0.25">
      <c r="A47" s="196"/>
      <c r="B47" s="194"/>
      <c r="C47" s="188"/>
      <c r="D47" s="200"/>
      <c r="E47" s="189"/>
    </row>
    <row r="48" spans="1:5" x14ac:dyDescent="0.25">
      <c r="A48" s="187" t="s">
        <v>1397</v>
      </c>
      <c r="B48" s="198" t="s">
        <v>1275</v>
      </c>
      <c r="C48" s="188"/>
      <c r="D48" s="191" t="s">
        <v>1398</v>
      </c>
      <c r="E48" s="201" t="s">
        <v>1276</v>
      </c>
    </row>
    <row r="49" spans="1:5" ht="21.75" customHeight="1" thickBot="1" x14ac:dyDescent="0.3">
      <c r="A49" s="187"/>
      <c r="B49" s="202"/>
      <c r="C49" s="188"/>
      <c r="D49" s="191"/>
      <c r="E49" s="203"/>
    </row>
    <row r="50" spans="1:5" ht="14.25" thickBot="1" x14ac:dyDescent="0.3">
      <c r="A50" s="292" t="s">
        <v>422</v>
      </c>
      <c r="B50" s="293"/>
      <c r="C50" s="293"/>
      <c r="D50" s="293"/>
      <c r="E50" s="294"/>
    </row>
    <row r="51" spans="1:5" x14ac:dyDescent="0.25">
      <c r="A51" s="187"/>
      <c r="B51" s="202"/>
      <c r="C51" s="188"/>
      <c r="D51" s="191"/>
      <c r="E51" s="203"/>
    </row>
    <row r="52" spans="1:5" x14ac:dyDescent="0.25">
      <c r="A52" s="204" t="s">
        <v>1226</v>
      </c>
      <c r="B52" s="205">
        <v>0</v>
      </c>
      <c r="C52" s="206"/>
      <c r="D52" s="304" t="s">
        <v>1419</v>
      </c>
      <c r="E52" s="305"/>
    </row>
    <row r="53" spans="1:5" ht="14.45" customHeight="1" x14ac:dyDescent="0.25">
      <c r="A53" s="204" t="s">
        <v>1281</v>
      </c>
      <c r="B53" s="205">
        <v>0</v>
      </c>
      <c r="C53" s="206"/>
      <c r="D53" s="306"/>
      <c r="E53" s="307"/>
    </row>
    <row r="54" spans="1:5" x14ac:dyDescent="0.25">
      <c r="A54" s="204"/>
      <c r="B54" s="206"/>
      <c r="C54" s="206"/>
      <c r="D54" s="308"/>
      <c r="E54" s="309"/>
    </row>
    <row r="55" spans="1:5" x14ac:dyDescent="0.25">
      <c r="A55" s="204"/>
      <c r="B55" s="206"/>
      <c r="C55" s="206"/>
      <c r="D55" s="308"/>
      <c r="E55" s="309"/>
    </row>
    <row r="56" spans="1:5" x14ac:dyDescent="0.25">
      <c r="A56" s="204"/>
      <c r="B56" s="206"/>
      <c r="C56" s="206"/>
      <c r="D56" s="308"/>
      <c r="E56" s="309"/>
    </row>
    <row r="57" spans="1:5" x14ac:dyDescent="0.25">
      <c r="A57" s="204"/>
      <c r="B57" s="206"/>
      <c r="C57" s="206"/>
      <c r="D57" s="310"/>
      <c r="E57" s="311"/>
    </row>
    <row r="58" spans="1:5" ht="14.25" thickBot="1" x14ac:dyDescent="0.3">
      <c r="A58" s="207"/>
      <c r="B58" s="208"/>
      <c r="C58" s="209"/>
      <c r="D58" s="209"/>
      <c r="E58" s="210"/>
    </row>
    <row r="59" spans="1:5" ht="14.25" thickBot="1" x14ac:dyDescent="0.3">
      <c r="A59" s="248"/>
      <c r="B59" s="228"/>
      <c r="C59" s="229"/>
      <c r="D59" s="229"/>
      <c r="E59" s="231"/>
    </row>
    <row r="60" spans="1:5" ht="14.25" thickBot="1" x14ac:dyDescent="0.3">
      <c r="A60" s="292" t="s">
        <v>1293</v>
      </c>
      <c r="B60" s="293"/>
      <c r="C60" s="293"/>
      <c r="D60" s="293"/>
      <c r="E60" s="294"/>
    </row>
    <row r="61" spans="1:5" x14ac:dyDescent="0.25">
      <c r="A61" s="196"/>
      <c r="B61" s="194"/>
      <c r="C61" s="188"/>
      <c r="D61" s="249"/>
      <c r="E61" s="189"/>
    </row>
    <row r="62" spans="1:5" x14ac:dyDescent="0.25">
      <c r="A62" s="211" t="s">
        <v>1425</v>
      </c>
      <c r="B62" s="212"/>
      <c r="C62" s="213"/>
      <c r="D62" s="191"/>
      <c r="E62" s="214"/>
    </row>
    <row r="63" spans="1:5" x14ac:dyDescent="0.25">
      <c r="A63" s="211" t="s">
        <v>1423</v>
      </c>
      <c r="B63" s="215"/>
      <c r="C63" s="213"/>
      <c r="D63" s="191"/>
      <c r="E63" s="214"/>
    </row>
    <row r="64" spans="1:5" ht="37.15" customHeight="1" x14ac:dyDescent="0.25">
      <c r="A64" s="211" t="s">
        <v>1424</v>
      </c>
      <c r="B64" s="298"/>
      <c r="C64" s="299"/>
      <c r="D64" s="299"/>
      <c r="E64" s="300"/>
    </row>
    <row r="65" spans="1:5" x14ac:dyDescent="0.25">
      <c r="A65" s="211" t="s">
        <v>290</v>
      </c>
      <c r="B65" s="216"/>
      <c r="C65" s="213"/>
      <c r="D65" s="191" t="s">
        <v>262</v>
      </c>
      <c r="E65" s="217"/>
    </row>
    <row r="66" spans="1:5" x14ac:dyDescent="0.25">
      <c r="A66" s="211" t="s">
        <v>426</v>
      </c>
      <c r="B66" s="218"/>
      <c r="C66" s="213"/>
      <c r="D66" s="191" t="s">
        <v>427</v>
      </c>
      <c r="E66" s="219"/>
    </row>
    <row r="67" spans="1:5" ht="57" customHeight="1" thickBot="1" x14ac:dyDescent="0.3">
      <c r="A67" s="220"/>
      <c r="B67" s="221"/>
      <c r="C67" s="222"/>
      <c r="D67" s="223" t="s">
        <v>1428</v>
      </c>
      <c r="E67" s="250"/>
    </row>
    <row r="68" spans="1:5" ht="14.25" thickBot="1" x14ac:dyDescent="0.3">
      <c r="A68" s="191"/>
      <c r="B68" s="225"/>
      <c r="C68" s="213"/>
      <c r="D68" s="191"/>
      <c r="E68" s="226"/>
    </row>
    <row r="69" spans="1:5" ht="14.25" thickBot="1" x14ac:dyDescent="0.3">
      <c r="A69" s="292" t="s">
        <v>1411</v>
      </c>
      <c r="B69" s="293"/>
      <c r="C69" s="293"/>
      <c r="D69" s="293"/>
      <c r="E69" s="294"/>
    </row>
    <row r="70" spans="1:5" x14ac:dyDescent="0.25">
      <c r="A70" s="227"/>
      <c r="B70" s="228"/>
      <c r="C70" s="229"/>
      <c r="D70" s="230"/>
      <c r="E70" s="231"/>
    </row>
    <row r="71" spans="1:5" x14ac:dyDescent="0.25">
      <c r="A71" s="211" t="s">
        <v>1412</v>
      </c>
      <c r="B71" s="212"/>
      <c r="C71" s="213"/>
      <c r="D71" s="191"/>
      <c r="E71" s="214"/>
    </row>
    <row r="72" spans="1:5" ht="180" customHeight="1" x14ac:dyDescent="0.25">
      <c r="A72" s="211" t="s">
        <v>1422</v>
      </c>
      <c r="B72" s="328"/>
      <c r="C72" s="329"/>
      <c r="D72" s="329"/>
      <c r="E72" s="330"/>
    </row>
    <row r="73" spans="1:5" ht="14.25" thickBot="1" x14ac:dyDescent="0.3">
      <c r="A73" s="220"/>
      <c r="B73" s="221"/>
      <c r="C73" s="222"/>
      <c r="D73" s="223"/>
      <c r="E73" s="224"/>
    </row>
    <row r="75" spans="1:5" ht="14.25" thickBot="1" x14ac:dyDescent="0.3"/>
    <row r="76" spans="1:5" ht="14.25" thickBot="1" x14ac:dyDescent="0.3">
      <c r="A76" s="301" t="s">
        <v>289</v>
      </c>
      <c r="B76" s="302"/>
      <c r="C76" s="302"/>
      <c r="D76" s="302"/>
      <c r="E76" s="303"/>
    </row>
    <row r="77" spans="1:5" x14ac:dyDescent="0.25">
      <c r="A77" s="232"/>
      <c r="B77" s="233" t="str">
        <f>IF(B79="High Risk","All high risk customer are required to be approved by Senior Mangement. Please request approval for this customer.","")</f>
        <v>All high risk customer are required to be approved by Senior Mangement. Please request approval for this customer.</v>
      </c>
      <c r="C77" s="229"/>
      <c r="D77" s="234"/>
      <c r="E77" s="235"/>
    </row>
    <row r="78" spans="1:5" x14ac:dyDescent="0.25">
      <c r="A78" s="187" t="s">
        <v>22</v>
      </c>
      <c r="B78" s="236">
        <f>Calculation!E23</f>
        <v>2.0300000000000002</v>
      </c>
      <c r="C78" s="251"/>
      <c r="D78" s="237" t="s">
        <v>424</v>
      </c>
      <c r="E78" s="247" t="s">
        <v>1441</v>
      </c>
    </row>
    <row r="79" spans="1:5" x14ac:dyDescent="0.25">
      <c r="A79" s="187" t="s">
        <v>423</v>
      </c>
      <c r="B79" s="198" t="str">
        <f>IF(Calculation!F36="Yes","Prohibited",IF(Calculation!F30="Yes","High Risk",IF(B78&lt;=1,"Low Risk",IF(B78&lt;=2,"Medium Risk",IF(B78&gt;2,"High Risk")))))</f>
        <v>High Risk</v>
      </c>
      <c r="C79" s="252"/>
      <c r="D79" s="331" t="s">
        <v>425</v>
      </c>
      <c r="E79" s="297"/>
    </row>
    <row r="80" spans="1:5" x14ac:dyDescent="0.25">
      <c r="A80" s="187" t="s">
        <v>1284</v>
      </c>
      <c r="B80" s="198" t="str">
        <f>IF(B79="Prohibited","Prohibited",IF(OR(B79="High Risk",PEP_Score &gt; 0),"Enhanced",IF(B79="Medium Risk","Standard",IF(B79="Low Risk","Simplified"))))</f>
        <v>Enhanced</v>
      </c>
      <c r="C80" s="252"/>
      <c r="D80" s="331"/>
      <c r="E80" s="297"/>
    </row>
    <row r="81" spans="1:5" x14ac:dyDescent="0.25">
      <c r="A81" s="187" t="s">
        <v>1405</v>
      </c>
      <c r="B81" s="198">
        <f>VLOOKUP(B79,'Review Periodicity'!A3:B5,2,FALSE)</f>
        <v>12</v>
      </c>
      <c r="C81" s="252"/>
      <c r="D81" s="331"/>
      <c r="E81" s="297"/>
    </row>
    <row r="82" spans="1:5" ht="15" x14ac:dyDescent="0.25">
      <c r="A82" s="187"/>
      <c r="B82"/>
      <c r="C82" s="252"/>
      <c r="D82" s="331"/>
      <c r="E82" s="297"/>
    </row>
    <row r="83" spans="1:5" ht="15" x14ac:dyDescent="0.25">
      <c r="A83" s="187"/>
      <c r="B83"/>
      <c r="C83" s="252"/>
      <c r="D83" s="331"/>
      <c r="E83" s="297"/>
    </row>
    <row r="84" spans="1:5" ht="15" x14ac:dyDescent="0.25">
      <c r="A84" s="187"/>
      <c r="B84"/>
      <c r="C84" s="252"/>
      <c r="D84" s="331"/>
      <c r="E84" s="297"/>
    </row>
    <row r="85" spans="1:5" x14ac:dyDescent="0.25">
      <c r="A85" s="239"/>
      <c r="E85" s="238"/>
    </row>
    <row r="86" spans="1:5" x14ac:dyDescent="0.25">
      <c r="A86" s="239"/>
      <c r="D86" s="253" t="s">
        <v>262</v>
      </c>
      <c r="E86" s="254"/>
    </row>
    <row r="87" spans="1:5" ht="63" customHeight="1" x14ac:dyDescent="0.25">
      <c r="A87" s="239"/>
      <c r="D87" s="253"/>
      <c r="E87" s="254"/>
    </row>
    <row r="88" spans="1:5" x14ac:dyDescent="0.25">
      <c r="A88" s="239"/>
      <c r="D88" s="253" t="s">
        <v>427</v>
      </c>
      <c r="E88" s="255"/>
    </row>
    <row r="89" spans="1:5" ht="14.25" thickBot="1" x14ac:dyDescent="0.3">
      <c r="A89" s="256"/>
      <c r="B89" s="240"/>
      <c r="C89" s="240"/>
      <c r="D89" s="257" t="s">
        <v>281</v>
      </c>
      <c r="E89" s="258"/>
    </row>
    <row r="92" spans="1:5" ht="14.25" thickBot="1" x14ac:dyDescent="0.3"/>
    <row r="93" spans="1:5" ht="14.25" thickBot="1" x14ac:dyDescent="0.3">
      <c r="A93" s="301" t="s">
        <v>1406</v>
      </c>
      <c r="B93" s="302"/>
      <c r="C93" s="302"/>
      <c r="D93" s="302"/>
      <c r="E93" s="303"/>
    </row>
    <row r="94" spans="1:5" x14ac:dyDescent="0.25">
      <c r="A94" s="211" t="s">
        <v>1407</v>
      </c>
      <c r="B94" s="212"/>
      <c r="C94" s="213"/>
      <c r="D94" s="191"/>
      <c r="E94" s="214"/>
    </row>
    <row r="95" spans="1:5" ht="40.5" customHeight="1" x14ac:dyDescent="0.25">
      <c r="A95" s="211" t="s">
        <v>1408</v>
      </c>
      <c r="B95" s="321"/>
      <c r="C95" s="322"/>
      <c r="D95" s="322"/>
      <c r="E95" s="323"/>
    </row>
    <row r="96" spans="1:5" x14ac:dyDescent="0.25">
      <c r="A96" s="324" t="s">
        <v>1409</v>
      </c>
      <c r="B96" s="326"/>
      <c r="C96" s="241"/>
      <c r="D96" s="242"/>
      <c r="E96" s="243"/>
    </row>
    <row r="97" spans="1:5" ht="24" customHeight="1" thickBot="1" x14ac:dyDescent="0.3">
      <c r="A97" s="325"/>
      <c r="B97" s="327"/>
      <c r="C97" s="240"/>
      <c r="D97" s="244" t="s">
        <v>1410</v>
      </c>
      <c r="E97" s="245"/>
    </row>
  </sheetData>
  <mergeCells count="25">
    <mergeCell ref="A93:E93"/>
    <mergeCell ref="B95:E95"/>
    <mergeCell ref="A96:A97"/>
    <mergeCell ref="B96:B97"/>
    <mergeCell ref="A69:E69"/>
    <mergeCell ref="B72:E72"/>
    <mergeCell ref="D79:D84"/>
    <mergeCell ref="A1:E2"/>
    <mergeCell ref="A3:E3"/>
    <mergeCell ref="A22:E22"/>
    <mergeCell ref="D24:E24"/>
    <mergeCell ref="D25:E39"/>
    <mergeCell ref="D8:E19"/>
    <mergeCell ref="B44:D44"/>
    <mergeCell ref="B43:D43"/>
    <mergeCell ref="A41:E41"/>
    <mergeCell ref="D7:E7"/>
    <mergeCell ref="E79:E84"/>
    <mergeCell ref="A46:E46"/>
    <mergeCell ref="A50:E50"/>
    <mergeCell ref="A60:E60"/>
    <mergeCell ref="B64:E64"/>
    <mergeCell ref="A76:E76"/>
    <mergeCell ref="D52:E52"/>
    <mergeCell ref="D53:E57"/>
  </mergeCells>
  <conditionalFormatting sqref="B79:B80">
    <cfRule type="cellIs" dxfId="16" priority="2" operator="equal">
      <formula>"Prohibited"</formula>
    </cfRule>
    <cfRule type="cellIs" dxfId="15" priority="3" operator="equal">
      <formula>"Low Risk"</formula>
    </cfRule>
  </conditionalFormatting>
  <conditionalFormatting sqref="B79:C80">
    <cfRule type="cellIs" dxfId="14" priority="1" operator="equal">
      <formula>"Medium Risk"</formula>
    </cfRule>
    <cfRule type="cellIs" dxfId="13" priority="4" operator="equal">
      <formula>"High Risk"</formula>
    </cfRule>
  </conditionalFormatting>
  <conditionalFormatting sqref="C79:C80">
    <cfRule type="cellIs" dxfId="12" priority="7" operator="equal">
      <formula>"Low Risk"</formula>
    </cfRule>
  </conditionalFormatting>
  <dataValidations count="15">
    <dataValidation type="list" allowBlank="1" showInputMessage="1" showErrorMessage="1" sqref="E78" xr:uid="{D58E609D-C6F1-4D68-BAFF-E9F01DDA5461}">
      <formula1>"No Override,Low Risk,Medium Risk,High Risk,Prohibited"</formula1>
    </dataValidation>
    <dataValidation allowBlank="1" showInputMessage="1" showErrorMessage="1" errorTitle="Incorrect name" error="Please enter proper name" sqref="E65 E86:E88" xr:uid="{5190EDBA-6DCA-4C7D-AD53-49939AF9D6AB}"/>
    <dataValidation type="textLength" allowBlank="1" showInputMessage="1" showErrorMessage="1" errorTitle="Incorrect Name" error="Please enter the correct name" sqref="B65" xr:uid="{88B738FB-BE36-46AF-B641-A4D59A312863}">
      <formula1>5</formula1>
      <formula2>15</formula2>
    </dataValidation>
    <dataValidation allowBlank="1" showInputMessage="1" showErrorMessage="1" errorTitle="Incorrect employee id" error="Please enter proper employee id" sqref="B63" xr:uid="{41BE597A-AF90-473C-ABF6-38616B9887E3}"/>
    <dataValidation type="textLength" allowBlank="1" showInputMessage="1" showErrorMessage="1" errorTitle="Invalid username" error="Please enter a proper name" promptTitle="Username" prompt="Please enter a proper name" sqref="B62 B94 B71" xr:uid="{FCF23FD6-4969-44EF-A1BF-C586AE148543}">
      <formula1>5</formula1>
      <formula2>30</formula2>
    </dataValidation>
    <dataValidation type="date" operator="greaterThanOrEqual" allowBlank="1" showInputMessage="1" showErrorMessage="1" error="Please enter valid date" sqref="E97 E66" xr:uid="{0E6E7E65-E5A9-43EF-ADA1-E1CD3B54F030}">
      <formula1>32874</formula1>
    </dataValidation>
    <dataValidation type="date" operator="greaterThan" allowBlank="1" showInputMessage="1" showErrorMessage="1" errorTitle="Invalid data entry" error="Please enter valid date" promptTitle="Date format DD/MM/YYYY" sqref="B96" xr:uid="{60D6965C-5D6A-4ABB-A186-BDEB59F0F34B}">
      <formula1>43101</formula1>
    </dataValidation>
    <dataValidation type="date" operator="greaterThanOrEqual" allowBlank="1" showInputMessage="1" showErrorMessage="1" sqref="E67:E68 E73" xr:uid="{8C118F2E-3264-4C6D-96D6-C209E863C2A3}">
      <formula1>32874</formula1>
    </dataValidation>
    <dataValidation type="textLength" allowBlank="1" showInputMessage="1" showErrorMessage="1" errorTitle="Invalid data entry" error="Please enter alphabetic values" sqref="B5 D7 D52 D24" xr:uid="{C67C964B-CABB-4C70-9E82-AF885242FA91}">
      <formula1>5</formula1>
      <formula2>100</formula2>
    </dataValidation>
    <dataValidation type="date" operator="greaterThan" allowBlank="1" showInputMessage="1" showErrorMessage="1" errorTitle="Invalid data entry" error="Please use date format DD-MMM-YYYY" promptTitle="Date format DD/MM/YYYY" sqref="B67:B68 B73" xr:uid="{E5250A0C-734D-4198-B1A5-99A91FD7E6B9}">
      <formula1>43101</formula1>
    </dataValidation>
    <dataValidation type="list" allowBlank="1" showInputMessage="1" showErrorMessage="1" sqref="E5" xr:uid="{12B7237F-F66A-4321-B539-7487133F39EB}">
      <formula1>"Trigger based assessment,Periodic assessment,New Customer"</formula1>
    </dataValidation>
    <dataValidation type="list" allowBlank="1" showInputMessage="1" showErrorMessage="1" sqref="B18" xr:uid="{4FD2DEA5-3509-4D9B-B9E0-773E69982A10}">
      <formula1>"Yes,No"</formula1>
    </dataValidation>
    <dataValidation type="list" allowBlank="1" showInputMessage="1" showErrorMessage="1" sqref="B8" xr:uid="{6BF4B00E-EBDF-41F7-A4F4-B8FE7C6369B5}">
      <formula1>"Active,Dormant"</formula1>
    </dataValidation>
    <dataValidation type="list" allowBlank="1" showInputMessage="1" showErrorMessage="1" errorTitle="Invalid data entry" error="Please select value from the drop-down list" sqref="B6" xr:uid="{F5FAE296-B8E0-46BC-A26D-5C1E407F8FB4}">
      <formula1>"New,Existing"</formula1>
    </dataValidation>
    <dataValidation type="list" allowBlank="1" showInputMessage="1" showErrorMessage="1" sqref="E49 B49" xr:uid="{BAA2EAE7-5C24-4490-ADD6-ED77923EDF6B}">
      <formula1>#REF!</formula1>
    </dataValidation>
  </dataValidations>
  <pageMargins left="0.7" right="0.7" top="0.75" bottom="0.75" header="0.3" footer="0.3"/>
  <pageSetup paperSize="9" scale="49" fitToHeight="0" orientation="landscape" r:id="rId1"/>
  <drawing r:id="rId2"/>
  <extLst>
    <ext xmlns:x14="http://schemas.microsoft.com/office/spreadsheetml/2009/9/main" uri="{CCE6A557-97BC-4b89-ADB6-D9C93CAAB3DF}">
      <x14:dataValidations xmlns:xm="http://schemas.microsoft.com/office/excel/2006/main" count="16">
        <x14:dataValidation type="list" allowBlank="1" showInputMessage="1" showErrorMessage="1" xr:uid="{D6D4E116-A016-4E0A-8D59-7F1417566507}">
          <x14:formula1>
            <xm:f>'Transaction Investigation Risk'!$C$7:$C$9</xm:f>
          </x14:formula1>
          <xm:sqref>B52</xm:sqref>
        </x14:dataValidation>
        <x14:dataValidation type="list" allowBlank="1" showInputMessage="1" showErrorMessage="1" xr:uid="{A4A84D7F-08B8-4B70-B570-3B94645FC976}">
          <x14:formula1>
            <xm:f>'Customer Type Risk'!$C$25:$C$26</xm:f>
          </x14:formula1>
          <xm:sqref>B9</xm:sqref>
        </x14:dataValidation>
        <x14:dataValidation type="list" allowBlank="1" showInputMessage="1" showErrorMessage="1" xr:uid="{B77B395A-9C76-4D8E-B27C-D19E7FA92B91}">
          <x14:formula1>
            <xm:f>'Customer Type Risk'!$C$13:$C$23</xm:f>
          </x14:formula1>
          <xm:sqref>B24</xm:sqref>
        </x14:dataValidation>
        <x14:dataValidation type="list" allowBlank="1" showInputMessage="1" showErrorMessage="1" xr:uid="{669AD727-2BC2-44AE-8B9C-4EE890034A23}">
          <x14:formula1>
            <xm:f>'Customer Type Risk'!$C$10:$C$11</xm:f>
          </x14:formula1>
          <xm:sqref>B12</xm:sqref>
        </x14:dataValidation>
        <x14:dataValidation type="list" allowBlank="1" showInputMessage="1" showErrorMessage="1" xr:uid="{97D807E4-7AC0-4B4A-B191-5441D14C6B29}">
          <x14:formula1>
            <xm:f>'Delivery Channel Risk'!$B$5:$B$7</xm:f>
          </x14:formula1>
          <xm:sqref>B48</xm:sqref>
        </x14:dataValidation>
        <x14:dataValidation type="list" allowBlank="1" showInputMessage="1" showErrorMessage="1" xr:uid="{A895374B-F158-46E1-8383-EF8777FECDC9}">
          <x14:formula1>
            <xm:f>'Delivery Channel Risk'!$B$17:$B$19</xm:f>
          </x14:formula1>
          <xm:sqref>E48</xm:sqref>
        </x14:dataValidation>
        <x14:dataValidation type="list" allowBlank="1" showInputMessage="1" showErrorMessage="1" xr:uid="{7A97B381-E45D-445C-A8AB-11118FE13471}">
          <x14:formula1>
            <xm:f>'Product Risk'!$B$12:$B$26</xm:f>
          </x14:formula1>
          <xm:sqref>B43:D43</xm:sqref>
        </x14:dataValidation>
        <x14:dataValidation type="list" allowBlank="1" showInputMessage="1" showErrorMessage="1" xr:uid="{2CA88A47-43C1-4568-A5AD-785FB37891ED}">
          <x14:formula1>
            <xm:f>'Customer Type Risk'!$O$10:$O$180</xm:f>
          </x14:formula1>
          <xm:sqref>B26</xm:sqref>
        </x14:dataValidation>
        <x14:dataValidation type="list" allowBlank="1" showInputMessage="1" showErrorMessage="1" xr:uid="{FF352FE3-1B58-4778-A0E2-12F0116CE212}">
          <x14:formula1>
            <xm:f>'Customer Type Risk'!$C$34:$C$37</xm:f>
          </x14:formula1>
          <xm:sqref>B11</xm:sqref>
        </x14:dataValidation>
        <x14:dataValidation type="list" allowBlank="1" showInputMessage="1" showErrorMessage="1" xr:uid="{20F2C553-1FC5-4D0E-AF83-9DEACF874D5F}">
          <x14:formula1>
            <xm:f>'Customer Type Risk'!$C$28:$C$32</xm:f>
          </x14:formula1>
          <xm:sqref>B27</xm:sqref>
        </x14:dataValidation>
        <x14:dataValidation type="list" allowBlank="1" showInputMessage="1" showErrorMessage="1" xr:uid="{73B0CB5C-050F-4E94-8BAE-3901E64D3996}">
          <x14:formula1>
            <xm:f>'Customer Type Risk'!$C$38:$C$40</xm:f>
          </x14:formula1>
          <xm:sqref>B10</xm:sqref>
        </x14:dataValidation>
        <x14:dataValidation type="list" allowBlank="1" showInputMessage="1" showErrorMessage="1" xr:uid="{85730DD4-38FE-4E9F-9AC9-CB41E4BF6158}">
          <x14:formula1>
            <xm:f>'Country Risk'!$B$10:$B$261</xm:f>
          </x14:formula1>
          <xm:sqref>B19 B13:B17</xm:sqref>
        </x14:dataValidation>
        <x14:dataValidation type="list" allowBlank="1" showInputMessage="1" showErrorMessage="1" xr:uid="{8D150D7A-2D1A-48D3-AAEB-B29B63977C96}">
          <x14:formula1>
            <xm:f>'Customer Type Risk'!$C$42:$C$46</xm:f>
          </x14:formula1>
          <xm:sqref>B20</xm:sqref>
        </x14:dataValidation>
        <x14:dataValidation type="list" allowBlank="1" showInputMessage="1" showErrorMessage="1" xr:uid="{136DC2F5-8D46-457E-8F3B-81FFB497EBFD}">
          <x14:formula1>
            <xm:f>'Transaction Investigation Risk'!$C$13:$C$14</xm:f>
          </x14:formula1>
          <xm:sqref>B53</xm:sqref>
        </x14:dataValidation>
        <x14:dataValidation type="list" allowBlank="1" showInputMessage="1" showErrorMessage="1" xr:uid="{F42BF367-CF07-4AA2-A2F8-786FA127DE3F}">
          <x14:formula1>
            <xm:f>'Service Risk'!$B$12:$B$18</xm:f>
          </x14:formula1>
          <xm:sqref>B44:D44</xm:sqref>
        </x14:dataValidation>
        <x14:dataValidation type="list" allowBlank="1" showInputMessage="1" showErrorMessage="1" xr:uid="{38D9E92A-3F18-48D5-BBBD-21163E1B1BCA}">
          <x14:formula1>
            <xm:f>'Customer Type Risk'!$I$10:$I$746</xm:f>
          </x14:formula1>
          <xm:sqref>B25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tCalculate"/>
  <dimension ref="A1:I39"/>
  <sheetViews>
    <sheetView showGridLines="0" zoomScale="80" zoomScaleNormal="80" workbookViewId="0">
      <selection activeCell="C40" sqref="C40"/>
    </sheetView>
  </sheetViews>
  <sheetFormatPr defaultColWidth="9.140625" defaultRowHeight="15" x14ac:dyDescent="0.25"/>
  <cols>
    <col min="1" max="1" width="34.28515625" style="9" customWidth="1"/>
    <col min="2" max="2" width="17.28515625" style="9" customWidth="1"/>
    <col min="3" max="3" width="30.28515625" style="115" customWidth="1"/>
    <col min="4" max="4" width="20.85546875" style="109" bestFit="1" customWidth="1"/>
    <col min="5" max="5" width="20.5703125" style="9" bestFit="1" customWidth="1"/>
    <col min="6" max="6" width="23.28515625" style="9" customWidth="1"/>
    <col min="7" max="7" width="32.28515625" style="9" customWidth="1"/>
    <col min="8" max="8" width="13.28515625" style="9" customWidth="1"/>
    <col min="9" max="10" width="10.5703125" style="9" customWidth="1"/>
    <col min="11" max="16384" width="9.140625" style="9"/>
  </cols>
  <sheetData>
    <row r="1" spans="1:9" ht="15.75" x14ac:dyDescent="0.25">
      <c r="A1" s="84" t="s">
        <v>264</v>
      </c>
      <c r="B1" s="85" t="s">
        <v>1300</v>
      </c>
      <c r="C1" s="86" t="s">
        <v>270</v>
      </c>
      <c r="D1" s="85" t="s">
        <v>1299</v>
      </c>
      <c r="E1" s="87" t="s">
        <v>267</v>
      </c>
      <c r="F1" s="88" t="s">
        <v>107</v>
      </c>
      <c r="G1" s="89" t="s">
        <v>271</v>
      </c>
      <c r="H1" s="90"/>
      <c r="I1" s="90"/>
    </row>
    <row r="2" spans="1:9" hidden="1" x14ac:dyDescent="0.25">
      <c r="A2" s="91" t="s">
        <v>263</v>
      </c>
      <c r="B2" s="92">
        <v>0</v>
      </c>
      <c r="C2" s="92">
        <v>0</v>
      </c>
      <c r="D2" s="179">
        <f t="shared" ref="D2:D8" si="0">B2*(C2/100)</f>
        <v>0</v>
      </c>
      <c r="E2" s="337">
        <f>D3+D5+D6+D7+D8+D10</f>
        <v>2.6</v>
      </c>
      <c r="F2" s="334" t="s">
        <v>265</v>
      </c>
      <c r="G2" s="334">
        <v>35</v>
      </c>
      <c r="H2" s="93"/>
      <c r="I2" s="93"/>
    </row>
    <row r="3" spans="1:9" ht="41.65" customHeight="1" x14ac:dyDescent="0.25">
      <c r="A3" s="94" t="s">
        <v>291</v>
      </c>
      <c r="B3" s="92">
        <f>VLOOKUP(Working!B10,'Customer Type Risk'!C38:D40,2,FALSE)</f>
        <v>3</v>
      </c>
      <c r="C3" s="92">
        <v>15</v>
      </c>
      <c r="D3" s="179">
        <f t="shared" si="0"/>
        <v>0.44999999999999996</v>
      </c>
      <c r="E3" s="338"/>
      <c r="F3" s="334"/>
      <c r="G3" s="334"/>
      <c r="H3" s="93"/>
      <c r="I3" s="93"/>
    </row>
    <row r="4" spans="1:9" x14ac:dyDescent="0.25">
      <c r="A4" s="91" t="s">
        <v>113</v>
      </c>
      <c r="B4" s="92">
        <f>VLOOKUP(Working!B11,'Customer Type Risk'!C34:D37,2,FALSE)</f>
        <v>0</v>
      </c>
      <c r="C4" s="92" t="str">
        <f>Working!B11</f>
        <v>Not Applicable</v>
      </c>
      <c r="D4" s="179">
        <f>PEP_Score</f>
        <v>0</v>
      </c>
      <c r="E4" s="338"/>
      <c r="F4" s="334"/>
      <c r="G4" s="334"/>
      <c r="H4" s="93"/>
      <c r="I4" s="93"/>
    </row>
    <row r="5" spans="1:9" x14ac:dyDescent="0.25">
      <c r="A5" s="91" t="s">
        <v>0</v>
      </c>
      <c r="B5" s="92">
        <f>VLOOKUP(Working!B12,'Customer Type Risk'!C10:D11,2,FALSE)</f>
        <v>3</v>
      </c>
      <c r="C5" s="92">
        <v>20</v>
      </c>
      <c r="D5" s="179">
        <f t="shared" si="0"/>
        <v>0.60000000000000009</v>
      </c>
      <c r="E5" s="338"/>
      <c r="F5" s="334"/>
      <c r="G5" s="334"/>
      <c r="H5" s="93"/>
      <c r="I5" s="93"/>
    </row>
    <row r="6" spans="1:9" x14ac:dyDescent="0.25">
      <c r="A6" s="91" t="s">
        <v>5</v>
      </c>
      <c r="B6" s="92">
        <f>VLOOKUP(Working!B24,'Customer Type Risk'!C13:D23,2,FALSE)</f>
        <v>3</v>
      </c>
      <c r="C6" s="92">
        <v>15</v>
      </c>
      <c r="D6" s="179">
        <f t="shared" si="0"/>
        <v>0.44999999999999996</v>
      </c>
      <c r="E6" s="338"/>
      <c r="F6" s="334"/>
      <c r="G6" s="334"/>
      <c r="H6" s="93"/>
      <c r="I6" s="93"/>
    </row>
    <row r="7" spans="1:9" x14ac:dyDescent="0.25">
      <c r="A7" s="91" t="s">
        <v>247</v>
      </c>
      <c r="B7" s="92">
        <f>VLOOKUP(Working!B25,'Customer Type Risk'!I10:K746,2,FALSE)</f>
        <v>3</v>
      </c>
      <c r="C7" s="92">
        <v>20</v>
      </c>
      <c r="D7" s="179">
        <f t="shared" si="0"/>
        <v>0.60000000000000009</v>
      </c>
      <c r="E7" s="338"/>
      <c r="F7" s="334"/>
      <c r="G7" s="334"/>
      <c r="H7" s="93"/>
      <c r="I7" s="93"/>
    </row>
    <row r="8" spans="1:9" x14ac:dyDescent="0.25">
      <c r="A8" s="91" t="s">
        <v>301</v>
      </c>
      <c r="B8" s="92">
        <f>VLOOKUP(Working!B26,'Customer Type Risk'!O10:P180,2,FALSE)</f>
        <v>2</v>
      </c>
      <c r="C8" s="92">
        <v>20</v>
      </c>
      <c r="D8" s="179">
        <f t="shared" si="0"/>
        <v>0.4</v>
      </c>
      <c r="E8" s="338"/>
      <c r="F8" s="334"/>
      <c r="G8" s="334"/>
      <c r="H8" s="93"/>
      <c r="I8" s="93"/>
    </row>
    <row r="9" spans="1:9" x14ac:dyDescent="0.25">
      <c r="A9" s="91" t="s">
        <v>414</v>
      </c>
      <c r="B9" s="92">
        <f>VLOOKUP(Working!B20,'Customer Type Risk'!C42:E46,2,FALSE)</f>
        <v>0</v>
      </c>
      <c r="C9" s="92" t="str">
        <f>VLOOKUP(Working!B20,'Customer Type Risk'!C42:E46,3,FALSE)</f>
        <v>Allowed</v>
      </c>
      <c r="D9" s="179">
        <f>B9</f>
        <v>0</v>
      </c>
      <c r="E9" s="338"/>
      <c r="F9" s="334"/>
      <c r="G9" s="334"/>
      <c r="H9" s="93"/>
      <c r="I9" s="93"/>
    </row>
    <row r="10" spans="1:9" x14ac:dyDescent="0.25">
      <c r="A10" s="91" t="s">
        <v>1240</v>
      </c>
      <c r="B10" s="92">
        <f>VLOOKUP(Working!B27,'Customer Type Risk'!C28:D32,2,FALSE)</f>
        <v>1</v>
      </c>
      <c r="C10" s="92">
        <v>10</v>
      </c>
      <c r="D10" s="179">
        <f>B10*(C10/100)</f>
        <v>0.1</v>
      </c>
      <c r="E10" s="339"/>
      <c r="F10" s="334"/>
      <c r="G10" s="334"/>
      <c r="H10" s="93"/>
      <c r="I10" s="93"/>
    </row>
    <row r="11" spans="1:9" x14ac:dyDescent="0.25">
      <c r="A11" s="95" t="s">
        <v>114</v>
      </c>
      <c r="B11" s="96">
        <f>VLOOKUP(Working!B13,'Country Risk'!B11:J261,9,FALSE)</f>
        <v>1.35</v>
      </c>
      <c r="C11" s="344" t="s">
        <v>269</v>
      </c>
      <c r="D11" s="180"/>
      <c r="E11" s="349">
        <f>MAX(B11:B16)</f>
        <v>1.35</v>
      </c>
      <c r="F11" s="344" t="s">
        <v>284</v>
      </c>
      <c r="G11" s="344">
        <v>30</v>
      </c>
      <c r="H11" s="93"/>
      <c r="I11" s="93"/>
    </row>
    <row r="12" spans="1:9" x14ac:dyDescent="0.25">
      <c r="A12" s="97" t="s">
        <v>115</v>
      </c>
      <c r="B12" s="98">
        <f>VLOOKUP(Working!B14,'Country Risk'!B11:J261,9,FALSE)</f>
        <v>1.35</v>
      </c>
      <c r="C12" s="345"/>
      <c r="D12" s="180"/>
      <c r="E12" s="350"/>
      <c r="F12" s="345"/>
      <c r="G12" s="345"/>
      <c r="H12" s="93"/>
      <c r="I12" s="93"/>
    </row>
    <row r="13" spans="1:9" x14ac:dyDescent="0.25">
      <c r="A13" s="97" t="s">
        <v>116</v>
      </c>
      <c r="B13" s="98">
        <f>VLOOKUP(Working!B15,'Country Risk'!B11:J261,9,FALSE)</f>
        <v>1.35</v>
      </c>
      <c r="C13" s="345"/>
      <c r="D13" s="180"/>
      <c r="E13" s="350"/>
      <c r="F13" s="345"/>
      <c r="G13" s="345"/>
      <c r="H13" s="93"/>
      <c r="I13" s="93"/>
    </row>
    <row r="14" spans="1:9" x14ac:dyDescent="0.25">
      <c r="A14" s="97" t="s">
        <v>117</v>
      </c>
      <c r="B14" s="99">
        <f>VLOOKUP(Working!B19,'Country Risk'!B10:J261,9,FALSE)</f>
        <v>1</v>
      </c>
      <c r="C14" s="345"/>
      <c r="D14" s="180"/>
      <c r="E14" s="350"/>
      <c r="F14" s="345"/>
      <c r="G14" s="345"/>
      <c r="H14" s="93"/>
      <c r="I14" s="93"/>
    </row>
    <row r="15" spans="1:9" x14ac:dyDescent="0.25">
      <c r="A15" s="97" t="s">
        <v>1420</v>
      </c>
      <c r="B15" s="99">
        <f>VLOOKUP(Working!B16,'Country Risk'!B11:J261,9,FALSE)</f>
        <v>1.35</v>
      </c>
      <c r="C15" s="345"/>
      <c r="D15" s="180"/>
      <c r="E15" s="350"/>
      <c r="F15" s="345"/>
      <c r="G15" s="345"/>
      <c r="H15" s="93"/>
      <c r="I15" s="93"/>
    </row>
    <row r="16" spans="1:9" x14ac:dyDescent="0.25">
      <c r="A16" s="97" t="s">
        <v>1421</v>
      </c>
      <c r="B16" s="99">
        <f>VLOOKUP(Working!B17,'Country Risk'!B11:J261,9,FALSE)</f>
        <v>1.35</v>
      </c>
      <c r="C16" s="346"/>
      <c r="D16" s="180"/>
      <c r="E16" s="351"/>
      <c r="F16" s="346"/>
      <c r="G16" s="346"/>
      <c r="H16" s="93"/>
      <c r="I16" s="93"/>
    </row>
    <row r="17" spans="1:9" x14ac:dyDescent="0.25">
      <c r="A17" s="100" t="s">
        <v>1400</v>
      </c>
      <c r="B17" s="101">
        <f>VLOOKUP(Working!B43,'Product Risk'!$B$12:$C$26,2,FALSE)</f>
        <v>1.2222222222222225</v>
      </c>
      <c r="C17" s="335" t="s">
        <v>269</v>
      </c>
      <c r="D17" s="181">
        <f>B17</f>
        <v>1.2222222222222225</v>
      </c>
      <c r="E17" s="340">
        <f>IF(B18&gt;=B17,B18,B17)</f>
        <v>2.14</v>
      </c>
      <c r="F17" s="335" t="s">
        <v>413</v>
      </c>
      <c r="G17" s="335">
        <v>25</v>
      </c>
      <c r="H17" s="93"/>
      <c r="I17" s="93"/>
    </row>
    <row r="18" spans="1:9" x14ac:dyDescent="0.25">
      <c r="A18" s="100" t="s">
        <v>1260</v>
      </c>
      <c r="B18" s="102">
        <f>ROUND(VLOOKUP(Working!B44,'Service Risk'!$B$12:$C$18,2,FALSE),2)</f>
        <v>2.14</v>
      </c>
      <c r="C18" s="336"/>
      <c r="D18" s="181">
        <f>B18</f>
        <v>2.14</v>
      </c>
      <c r="E18" s="341"/>
      <c r="F18" s="336"/>
      <c r="G18" s="336"/>
      <c r="H18" s="93"/>
      <c r="I18" s="93"/>
    </row>
    <row r="19" spans="1:9" x14ac:dyDescent="0.25">
      <c r="A19" s="103" t="s">
        <v>1401</v>
      </c>
      <c r="B19" s="104">
        <f>VLOOKUP(Working!B48,'Delivery Channel Risk'!$B$5:$C$7,2,FALSE)</f>
        <v>1.4</v>
      </c>
      <c r="C19" s="105" t="s">
        <v>1403</v>
      </c>
      <c r="D19" s="182">
        <f>B19</f>
        <v>1.4</v>
      </c>
      <c r="E19" s="342">
        <f>(D19*50%)+(D20*50%)</f>
        <v>1.8</v>
      </c>
      <c r="F19" s="332" t="s">
        <v>266</v>
      </c>
      <c r="G19" s="332">
        <v>10</v>
      </c>
      <c r="H19" s="93"/>
      <c r="I19" s="93"/>
    </row>
    <row r="20" spans="1:9" x14ac:dyDescent="0.25">
      <c r="A20" s="103" t="s">
        <v>1402</v>
      </c>
      <c r="B20" s="104">
        <f>VLOOKUP(Working!E48,'Delivery Channel Risk'!$B$17:$C$19,2,FALSE)</f>
        <v>2.2000000000000002</v>
      </c>
      <c r="C20" s="105" t="s">
        <v>1403</v>
      </c>
      <c r="D20" s="182">
        <f>B20</f>
        <v>2.2000000000000002</v>
      </c>
      <c r="E20" s="343"/>
      <c r="F20" s="332"/>
      <c r="G20" s="332"/>
      <c r="H20" s="93"/>
      <c r="I20" s="93"/>
    </row>
    <row r="21" spans="1:9" x14ac:dyDescent="0.25">
      <c r="A21" s="121" t="s">
        <v>302</v>
      </c>
      <c r="B21" s="106">
        <f>VLOOKUP(Working!B52,'Transaction Investigation Risk'!C7:D9,2,FALSE)</f>
        <v>0</v>
      </c>
      <c r="C21" s="106" t="s">
        <v>1282</v>
      </c>
      <c r="D21" s="183"/>
      <c r="E21" s="107" t="str">
        <f>IF(B21=3,"HIGH","No Override")</f>
        <v>No Override</v>
      </c>
      <c r="F21" s="333" t="s">
        <v>1297</v>
      </c>
      <c r="G21" s="106"/>
      <c r="H21" s="93"/>
      <c r="I21" s="93"/>
    </row>
    <row r="22" spans="1:9" x14ac:dyDescent="0.25">
      <c r="A22" s="121" t="s">
        <v>1283</v>
      </c>
      <c r="B22" s="106">
        <f>VLOOKUP(Working!B53,'Transaction Investigation Risk'!C13:D14,2,FALSE)</f>
        <v>0</v>
      </c>
      <c r="C22" s="106" t="s">
        <v>1282</v>
      </c>
      <c r="D22" s="183"/>
      <c r="E22" s="107" t="str">
        <f>IF(B22=3,"HIGH","No Override")</f>
        <v>No Override</v>
      </c>
      <c r="F22" s="333"/>
      <c r="G22" s="106"/>
      <c r="H22" s="93"/>
      <c r="I22" s="93"/>
    </row>
    <row r="23" spans="1:9" x14ac:dyDescent="0.25">
      <c r="A23" s="108"/>
      <c r="B23" s="109"/>
      <c r="C23" s="110"/>
      <c r="E23" s="118">
        <f>_xlfn.IFNA(E2*(G2/100)+E11*(G11/100)+E17*(G17/100)+E19*(G19/100),0)</f>
        <v>2.0300000000000002</v>
      </c>
      <c r="F23" s="119" t="s">
        <v>260</v>
      </c>
      <c r="G23" s="120"/>
    </row>
    <row r="24" spans="1:9" x14ac:dyDescent="0.25">
      <c r="A24" s="109"/>
      <c r="B24" s="109"/>
      <c r="C24" s="110"/>
      <c r="E24" s="111"/>
      <c r="F24" s="112"/>
    </row>
    <row r="25" spans="1:9" ht="15.75" x14ac:dyDescent="0.25">
      <c r="A25" s="113" t="s">
        <v>272</v>
      </c>
      <c r="B25" s="113" t="s">
        <v>274</v>
      </c>
      <c r="C25" s="114" t="s">
        <v>273</v>
      </c>
      <c r="D25" s="113" t="s">
        <v>268</v>
      </c>
      <c r="E25" s="347" t="s">
        <v>1330</v>
      </c>
      <c r="F25" s="347"/>
    </row>
    <row r="26" spans="1:9" x14ac:dyDescent="0.25">
      <c r="A26" s="13" t="s">
        <v>297</v>
      </c>
      <c r="B26" s="184">
        <v>2.0099999999999998</v>
      </c>
      <c r="C26" s="185">
        <v>3</v>
      </c>
      <c r="D26" s="186">
        <v>3</v>
      </c>
      <c r="E26" s="31" t="s">
        <v>1285</v>
      </c>
      <c r="F26" s="31" t="str">
        <f>IF(PEP_Score=3,"PEP Override","No")</f>
        <v>No</v>
      </c>
    </row>
    <row r="27" spans="1:9" x14ac:dyDescent="0.25">
      <c r="A27" s="13" t="s">
        <v>296</v>
      </c>
      <c r="B27" s="184">
        <v>1.01</v>
      </c>
      <c r="C27" s="185">
        <v>2</v>
      </c>
      <c r="D27" s="186">
        <v>2</v>
      </c>
      <c r="E27" s="31" t="s">
        <v>1286</v>
      </c>
      <c r="F27" s="31" t="str">
        <f>IF(B9=3,"Screening Override","No")</f>
        <v>No</v>
      </c>
    </row>
    <row r="28" spans="1:9" x14ac:dyDescent="0.25">
      <c r="A28" s="13" t="s">
        <v>295</v>
      </c>
      <c r="B28" s="185">
        <v>0</v>
      </c>
      <c r="C28" s="185">
        <v>1</v>
      </c>
      <c r="D28" s="186">
        <v>1</v>
      </c>
      <c r="E28" s="31" t="s">
        <v>1287</v>
      </c>
      <c r="F28" s="31" t="str">
        <f>IF(B21=3,"Transaction Override","No")</f>
        <v>No</v>
      </c>
    </row>
    <row r="29" spans="1:9" x14ac:dyDescent="0.25">
      <c r="E29" s="31" t="s">
        <v>1283</v>
      </c>
      <c r="F29" s="31" t="str">
        <f>IF(B22=3,"STR Override","No")</f>
        <v>No</v>
      </c>
    </row>
    <row r="30" spans="1:9" x14ac:dyDescent="0.25">
      <c r="D30" s="9"/>
      <c r="E30" s="116" t="s">
        <v>1298</v>
      </c>
      <c r="F30" s="116" t="str">
        <f>IF(OR(B4=3,B9=3,B21=3,B22=3),"Yes","No")</f>
        <v>No</v>
      </c>
    </row>
    <row r="31" spans="1:9" x14ac:dyDescent="0.25">
      <c r="E31" s="348" t="s">
        <v>1288</v>
      </c>
      <c r="F31" s="348"/>
    </row>
    <row r="32" spans="1:9" x14ac:dyDescent="0.25">
      <c r="E32" s="31" t="s">
        <v>1286</v>
      </c>
      <c r="F32" s="13" t="str">
        <f>IF(B9=4,"yes","No")</f>
        <v>No</v>
      </c>
    </row>
    <row r="33" spans="5:6" x14ac:dyDescent="0.25">
      <c r="E33" s="31" t="s">
        <v>298</v>
      </c>
      <c r="F33" s="13" t="str">
        <f>IF(Industry_Score=4,"Yes","No")</f>
        <v>No</v>
      </c>
    </row>
    <row r="34" spans="5:6" hidden="1" x14ac:dyDescent="0.25">
      <c r="E34" s="31" t="s">
        <v>1290</v>
      </c>
      <c r="F34" s="13" t="str">
        <f>IF(OR(PrmNationality_Score&gt;=5,AltNationality_Score&gt;=5,BirthCountry_Score&gt;=5),"Yes","No")</f>
        <v>No</v>
      </c>
    </row>
    <row r="35" spans="5:6" x14ac:dyDescent="0.25">
      <c r="E35" s="31" t="s">
        <v>1291</v>
      </c>
      <c r="F35" s="13" t="str">
        <f>IF(OR(ResidenceCountry_Score&gt;=4,B15&gt;=4),"Yes","No")</f>
        <v>No</v>
      </c>
    </row>
    <row r="36" spans="5:6" x14ac:dyDescent="0.25">
      <c r="E36" s="116" t="s">
        <v>1292</v>
      </c>
      <c r="F36" s="116" t="str">
        <f>IF(OR(F32="Yes",F33="Yes",F34="Yes",F35="Yes"),"Yes","No")</f>
        <v>No</v>
      </c>
    </row>
    <row r="38" spans="5:6" x14ac:dyDescent="0.25">
      <c r="F38" s="117"/>
    </row>
    <row r="39" spans="5:6" x14ac:dyDescent="0.25">
      <c r="F39" s="117"/>
    </row>
  </sheetData>
  <mergeCells count="17">
    <mergeCell ref="E25:F25"/>
    <mergeCell ref="E31:F31"/>
    <mergeCell ref="F2:F10"/>
    <mergeCell ref="F17:F18"/>
    <mergeCell ref="C17:C18"/>
    <mergeCell ref="F19:F20"/>
    <mergeCell ref="E11:E16"/>
    <mergeCell ref="F11:F16"/>
    <mergeCell ref="C11:C16"/>
    <mergeCell ref="G19:G20"/>
    <mergeCell ref="F21:F22"/>
    <mergeCell ref="G2:G10"/>
    <mergeCell ref="G17:G18"/>
    <mergeCell ref="E2:E10"/>
    <mergeCell ref="E17:E18"/>
    <mergeCell ref="E19:E20"/>
    <mergeCell ref="G11:G16"/>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6860B-CA72-4164-8BFE-508ABD48A0AE}">
  <dimension ref="A1"/>
  <sheetViews>
    <sheetView workbookViewId="0"/>
  </sheetViews>
  <sheetFormatPr defaultRowHeight="15" x14ac:dyDescent="0.25"/>
  <sheetData>
    <row r="1" spans="1:1" x14ac:dyDescent="0.25">
      <c r="A1" t="s">
        <v>1338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4D58BB-17A8-47A9-AFC5-22DA5E1C030B}">
  <dimension ref="A1:B5"/>
  <sheetViews>
    <sheetView showGridLines="0" workbookViewId="0">
      <selection activeCell="B9" sqref="B9"/>
    </sheetView>
  </sheetViews>
  <sheetFormatPr defaultColWidth="9.140625" defaultRowHeight="13.5" x14ac:dyDescent="0.25"/>
  <cols>
    <col min="1" max="1" width="17.28515625" style="10" bestFit="1" customWidth="1"/>
    <col min="2" max="16384" width="9.140625" style="10"/>
  </cols>
  <sheetData>
    <row r="1" spans="1:2" x14ac:dyDescent="0.25">
      <c r="A1" s="10" t="s">
        <v>1337</v>
      </c>
    </row>
    <row r="3" spans="1:2" x14ac:dyDescent="0.25">
      <c r="A3" s="14" t="s">
        <v>297</v>
      </c>
      <c r="B3" s="14">
        <v>12</v>
      </c>
    </row>
    <row r="4" spans="1:2" x14ac:dyDescent="0.25">
      <c r="A4" s="14" t="s">
        <v>296</v>
      </c>
      <c r="B4" s="14">
        <v>24</v>
      </c>
    </row>
    <row r="5" spans="1:2" x14ac:dyDescent="0.25">
      <c r="A5" s="14" t="s">
        <v>295</v>
      </c>
      <c r="B5" s="14">
        <v>36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87DB3-4204-45C1-A19E-9F7CF7530020}">
  <dimension ref="A1:Q753"/>
  <sheetViews>
    <sheetView showGridLines="0" topLeftCell="A46" workbookViewId="0">
      <selection activeCell="B10" sqref="B10"/>
    </sheetView>
  </sheetViews>
  <sheetFormatPr defaultColWidth="9.140625" defaultRowHeight="13.5" x14ac:dyDescent="0.25"/>
  <cols>
    <col min="1" max="1" width="19.28515625" style="10" customWidth="1"/>
    <col min="2" max="2" width="11.140625" style="10" bestFit="1" customWidth="1"/>
    <col min="3" max="3" width="42.5703125" style="10" customWidth="1"/>
    <col min="4" max="4" width="7.28515625" style="10" bestFit="1" customWidth="1"/>
    <col min="5" max="5" width="16.5703125" style="10" bestFit="1" customWidth="1"/>
    <col min="6" max="6" width="9.140625" style="10"/>
    <col min="7" max="7" width="10.7109375" style="10" bestFit="1" customWidth="1"/>
    <col min="8" max="8" width="11.140625" style="10" bestFit="1" customWidth="1"/>
    <col min="9" max="9" width="40.7109375" style="10" bestFit="1" customWidth="1"/>
    <col min="10" max="10" width="7.28515625" style="10" bestFit="1" customWidth="1"/>
    <col min="11" max="11" width="11.28515625" style="10" bestFit="1" customWidth="1"/>
    <col min="12" max="12" width="9.140625" style="10"/>
    <col min="13" max="13" width="17.28515625" style="10" bestFit="1" customWidth="1"/>
    <col min="14" max="14" width="11.140625" style="10" bestFit="1" customWidth="1"/>
    <col min="15" max="15" width="95.5703125" style="10" bestFit="1" customWidth="1"/>
    <col min="16" max="16" width="7.28515625" style="10" bestFit="1" customWidth="1"/>
    <col min="17" max="17" width="11.28515625" style="10" bestFit="1" customWidth="1"/>
    <col min="18" max="16384" width="9.140625" style="10"/>
  </cols>
  <sheetData>
    <row r="1" spans="1:17" x14ac:dyDescent="0.25">
      <c r="A1" s="352" t="s">
        <v>106</v>
      </c>
      <c r="B1" s="352"/>
      <c r="C1" s="352"/>
      <c r="D1" s="32"/>
      <c r="J1" s="33"/>
      <c r="O1" s="34"/>
      <c r="P1" s="35"/>
    </row>
    <row r="2" spans="1:17" x14ac:dyDescent="0.25">
      <c r="A2" s="353" t="s">
        <v>119</v>
      </c>
      <c r="B2" s="353"/>
      <c r="C2" s="36"/>
      <c r="D2" s="36"/>
      <c r="J2" s="33"/>
      <c r="O2" s="34"/>
      <c r="P2" s="35"/>
    </row>
    <row r="3" spans="1:17" x14ac:dyDescent="0.25">
      <c r="A3" s="37" t="s">
        <v>120</v>
      </c>
      <c r="B3" s="37" t="s">
        <v>110</v>
      </c>
      <c r="C3" s="11"/>
      <c r="D3" s="32"/>
      <c r="J3" s="33"/>
      <c r="O3" s="34"/>
      <c r="P3" s="35"/>
    </row>
    <row r="4" spans="1:17" x14ac:dyDescent="0.25">
      <c r="A4" s="38" t="s">
        <v>3</v>
      </c>
      <c r="B4" s="39">
        <v>3</v>
      </c>
      <c r="C4" s="11"/>
      <c r="D4" s="32"/>
      <c r="J4" s="33"/>
      <c r="O4" s="34"/>
      <c r="P4" s="35"/>
    </row>
    <row r="5" spans="1:17" x14ac:dyDescent="0.25">
      <c r="A5" s="38" t="s">
        <v>1</v>
      </c>
      <c r="B5" s="39">
        <v>2</v>
      </c>
      <c r="C5" s="11"/>
      <c r="D5" s="32"/>
      <c r="J5" s="33"/>
      <c r="O5" s="34"/>
      <c r="P5" s="35"/>
    </row>
    <row r="6" spans="1:17" x14ac:dyDescent="0.25">
      <c r="A6" s="38" t="s">
        <v>2</v>
      </c>
      <c r="B6" s="39">
        <v>1</v>
      </c>
      <c r="C6" s="11"/>
      <c r="D6" s="32"/>
      <c r="J6" s="33"/>
      <c r="O6" s="34"/>
      <c r="P6" s="35"/>
    </row>
    <row r="7" spans="1:17" x14ac:dyDescent="0.25">
      <c r="A7" s="40"/>
      <c r="B7" s="40"/>
      <c r="C7" s="40"/>
      <c r="D7" s="32"/>
      <c r="J7" s="33"/>
      <c r="O7" s="34"/>
      <c r="P7" s="35"/>
    </row>
    <row r="8" spans="1:17" x14ac:dyDescent="0.25">
      <c r="A8" s="354" t="s">
        <v>280</v>
      </c>
      <c r="B8" s="355"/>
      <c r="C8" s="356"/>
      <c r="D8" s="41"/>
      <c r="E8" s="41"/>
      <c r="F8" s="41"/>
      <c r="G8" s="41"/>
      <c r="H8" s="41"/>
      <c r="I8" s="41"/>
      <c r="J8" s="41"/>
      <c r="K8" s="41"/>
      <c r="L8" s="41"/>
      <c r="M8" s="41"/>
      <c r="N8" s="41"/>
      <c r="O8" s="41"/>
      <c r="P8" s="41"/>
      <c r="Q8" s="41"/>
    </row>
    <row r="9" spans="1:17" x14ac:dyDescent="0.25">
      <c r="A9" s="42" t="s">
        <v>107</v>
      </c>
      <c r="B9" s="42" t="s">
        <v>108</v>
      </c>
      <c r="C9" s="42" t="s">
        <v>109</v>
      </c>
      <c r="D9" s="42" t="s">
        <v>110</v>
      </c>
      <c r="E9" s="42" t="s">
        <v>1225</v>
      </c>
      <c r="F9" s="42"/>
      <c r="G9" s="42" t="s">
        <v>107</v>
      </c>
      <c r="H9" s="42" t="s">
        <v>108</v>
      </c>
      <c r="I9" s="42" t="s">
        <v>85</v>
      </c>
      <c r="J9" s="42" t="s">
        <v>110</v>
      </c>
      <c r="K9" s="42" t="s">
        <v>1225</v>
      </c>
      <c r="L9" s="42"/>
      <c r="M9" s="42" t="s">
        <v>107</v>
      </c>
      <c r="N9" s="42" t="s">
        <v>108</v>
      </c>
      <c r="O9" s="42" t="s">
        <v>85</v>
      </c>
      <c r="P9" s="42" t="s">
        <v>110</v>
      </c>
      <c r="Q9" s="43" t="s">
        <v>1225</v>
      </c>
    </row>
    <row r="10" spans="1:17" ht="20.45" customHeight="1" x14ac:dyDescent="0.25">
      <c r="A10" s="74" t="s">
        <v>111</v>
      </c>
      <c r="B10" s="78">
        <v>0.2</v>
      </c>
      <c r="C10" s="44" t="s">
        <v>415</v>
      </c>
      <c r="D10" s="45">
        <v>1</v>
      </c>
      <c r="E10" s="44"/>
      <c r="G10" s="77" t="s">
        <v>247</v>
      </c>
      <c r="H10" s="75">
        <v>0.2</v>
      </c>
      <c r="I10" s="46" t="s">
        <v>86</v>
      </c>
      <c r="J10" s="47">
        <v>3</v>
      </c>
      <c r="K10" s="48"/>
      <c r="L10" s="12"/>
      <c r="M10" s="77" t="s">
        <v>298</v>
      </c>
      <c r="N10" s="75">
        <v>0.2</v>
      </c>
      <c r="O10" s="16" t="s">
        <v>1178</v>
      </c>
      <c r="P10" s="47">
        <v>1</v>
      </c>
      <c r="Q10" s="49"/>
    </row>
    <row r="11" spans="1:17" ht="14.45" customHeight="1" x14ac:dyDescent="0.25">
      <c r="A11" s="50"/>
      <c r="B11" s="80"/>
      <c r="C11" s="44" t="s">
        <v>416</v>
      </c>
      <c r="D11" s="45">
        <v>3</v>
      </c>
      <c r="E11" s="44"/>
      <c r="I11" s="46" t="s">
        <v>516</v>
      </c>
      <c r="J11" s="47">
        <v>1</v>
      </c>
      <c r="K11" s="48"/>
      <c r="L11" s="11"/>
      <c r="O11" s="16" t="s">
        <v>444</v>
      </c>
      <c r="P11" s="47">
        <v>3</v>
      </c>
      <c r="Q11" s="49"/>
    </row>
    <row r="12" spans="1:17" x14ac:dyDescent="0.25">
      <c r="A12" s="50"/>
      <c r="B12" s="80"/>
      <c r="C12" s="52"/>
      <c r="D12" s="32"/>
      <c r="H12" s="53"/>
      <c r="I12" s="46" t="s">
        <v>517</v>
      </c>
      <c r="J12" s="47">
        <v>3</v>
      </c>
      <c r="K12" s="48"/>
      <c r="L12" s="11"/>
      <c r="O12" s="16" t="s">
        <v>445</v>
      </c>
      <c r="P12" s="47">
        <v>1</v>
      </c>
      <c r="Q12" s="49"/>
    </row>
    <row r="13" spans="1:17" ht="37.15" customHeight="1" x14ac:dyDescent="0.25">
      <c r="A13" s="74" t="s">
        <v>5</v>
      </c>
      <c r="B13" s="78">
        <v>0.15</v>
      </c>
      <c r="C13" s="44" t="s">
        <v>307</v>
      </c>
      <c r="D13" s="45">
        <v>1</v>
      </c>
      <c r="E13" s="44"/>
      <c r="I13" s="46" t="s">
        <v>314</v>
      </c>
      <c r="J13" s="47">
        <v>2</v>
      </c>
      <c r="K13" s="48"/>
      <c r="L13" s="11"/>
      <c r="O13" s="16" t="s">
        <v>446</v>
      </c>
      <c r="P13" s="47">
        <v>3</v>
      </c>
      <c r="Q13" s="49"/>
    </row>
    <row r="14" spans="1:17" ht="58.15" customHeight="1" x14ac:dyDescent="0.25">
      <c r="A14" s="50"/>
      <c r="B14" s="80"/>
      <c r="C14" s="44" t="s">
        <v>308</v>
      </c>
      <c r="D14" s="45">
        <v>2</v>
      </c>
      <c r="E14" s="44"/>
      <c r="I14" s="46" t="s">
        <v>518</v>
      </c>
      <c r="J14" s="47">
        <v>1</v>
      </c>
      <c r="K14" s="48"/>
      <c r="L14" s="11"/>
      <c r="O14" s="54" t="s">
        <v>359</v>
      </c>
      <c r="P14" s="55">
        <v>1</v>
      </c>
      <c r="Q14" s="49"/>
    </row>
    <row r="15" spans="1:17" x14ac:dyDescent="0.25">
      <c r="A15" s="50"/>
      <c r="B15" s="80"/>
      <c r="C15" s="44" t="s">
        <v>309</v>
      </c>
      <c r="D15" s="45">
        <v>2</v>
      </c>
      <c r="E15" s="44"/>
      <c r="I15" s="46" t="s">
        <v>519</v>
      </c>
      <c r="J15" s="47">
        <v>1</v>
      </c>
      <c r="K15" s="48"/>
      <c r="L15" s="11"/>
      <c r="O15" s="56" t="s">
        <v>360</v>
      </c>
      <c r="P15" s="55">
        <v>1</v>
      </c>
      <c r="Q15" s="49"/>
    </row>
    <row r="16" spans="1:17" x14ac:dyDescent="0.25">
      <c r="A16" s="50"/>
      <c r="B16" s="80"/>
      <c r="C16" s="44" t="s">
        <v>310</v>
      </c>
      <c r="D16" s="45">
        <v>3</v>
      </c>
      <c r="E16" s="44"/>
      <c r="I16" s="46" t="s">
        <v>520</v>
      </c>
      <c r="J16" s="47">
        <v>1</v>
      </c>
      <c r="K16" s="48"/>
      <c r="L16" s="11"/>
      <c r="O16" s="56" t="s">
        <v>361</v>
      </c>
      <c r="P16" s="55">
        <v>3</v>
      </c>
      <c r="Q16" s="49"/>
    </row>
    <row r="17" spans="1:17" x14ac:dyDescent="0.25">
      <c r="A17" s="50"/>
      <c r="B17" s="80"/>
      <c r="C17" s="44" t="s">
        <v>294</v>
      </c>
      <c r="D17" s="45">
        <v>3</v>
      </c>
      <c r="E17" s="44"/>
      <c r="I17" s="46" t="s">
        <v>521</v>
      </c>
      <c r="J17" s="47">
        <v>1</v>
      </c>
      <c r="K17" s="48"/>
      <c r="L17" s="11"/>
      <c r="O17" s="54" t="s">
        <v>362</v>
      </c>
      <c r="P17" s="55">
        <v>1</v>
      </c>
      <c r="Q17" s="49"/>
    </row>
    <row r="18" spans="1:17" x14ac:dyDescent="0.25">
      <c r="A18" s="50"/>
      <c r="B18" s="80"/>
      <c r="C18" s="44" t="s">
        <v>99</v>
      </c>
      <c r="D18" s="45">
        <v>1</v>
      </c>
      <c r="E18" s="44"/>
      <c r="I18" s="46" t="s">
        <v>522</v>
      </c>
      <c r="J18" s="47">
        <v>1</v>
      </c>
      <c r="K18" s="48"/>
      <c r="L18" s="11"/>
      <c r="O18" s="14" t="s">
        <v>1179</v>
      </c>
      <c r="P18" s="55">
        <v>4</v>
      </c>
      <c r="Q18" s="57" t="s">
        <v>279</v>
      </c>
    </row>
    <row r="19" spans="1:17" x14ac:dyDescent="0.25">
      <c r="A19" s="50"/>
      <c r="B19" s="80"/>
      <c r="C19" s="44" t="s">
        <v>311</v>
      </c>
      <c r="D19" s="45">
        <v>2</v>
      </c>
      <c r="E19" s="44"/>
      <c r="I19" s="46" t="s">
        <v>523</v>
      </c>
      <c r="J19" s="47">
        <v>1</v>
      </c>
      <c r="K19" s="48"/>
      <c r="L19" s="11"/>
      <c r="O19" s="54" t="s">
        <v>363</v>
      </c>
      <c r="P19" s="55">
        <v>2</v>
      </c>
      <c r="Q19" s="57"/>
    </row>
    <row r="20" spans="1:17" x14ac:dyDescent="0.25">
      <c r="A20" s="50"/>
      <c r="B20" s="81"/>
      <c r="C20" s="44" t="s">
        <v>292</v>
      </c>
      <c r="D20" s="45">
        <v>1</v>
      </c>
      <c r="E20" s="44"/>
      <c r="I20" s="46" t="s">
        <v>524</v>
      </c>
      <c r="J20" s="47">
        <v>1</v>
      </c>
      <c r="K20" s="48"/>
      <c r="L20" s="11"/>
      <c r="O20" s="14" t="s">
        <v>1180</v>
      </c>
      <c r="P20" s="55">
        <v>4</v>
      </c>
      <c r="Q20" s="57" t="s">
        <v>279</v>
      </c>
    </row>
    <row r="21" spans="1:17" x14ac:dyDescent="0.25">
      <c r="A21" s="50"/>
      <c r="B21" s="81"/>
      <c r="C21" s="44" t="s">
        <v>103</v>
      </c>
      <c r="D21" s="45">
        <v>3</v>
      </c>
      <c r="E21" s="44"/>
      <c r="I21" s="46" t="s">
        <v>525</v>
      </c>
      <c r="J21" s="47">
        <v>1</v>
      </c>
      <c r="K21" s="48"/>
      <c r="L21" s="11"/>
      <c r="O21" s="54" t="s">
        <v>447</v>
      </c>
      <c r="P21" s="55">
        <v>1</v>
      </c>
      <c r="Q21" s="57"/>
    </row>
    <row r="22" spans="1:17" x14ac:dyDescent="0.25">
      <c r="A22" s="50"/>
      <c r="B22" s="81"/>
      <c r="C22" s="58" t="s">
        <v>312</v>
      </c>
      <c r="D22" s="45">
        <v>3</v>
      </c>
      <c r="E22" s="44"/>
      <c r="I22" s="46" t="s">
        <v>526</v>
      </c>
      <c r="J22" s="47">
        <v>2</v>
      </c>
      <c r="K22" s="48"/>
      <c r="L22" s="11"/>
      <c r="O22" s="54" t="s">
        <v>364</v>
      </c>
      <c r="P22" s="55">
        <v>3</v>
      </c>
      <c r="Q22" s="48" t="s">
        <v>297</v>
      </c>
    </row>
    <row r="23" spans="1:17" x14ac:dyDescent="0.25">
      <c r="A23" s="50"/>
      <c r="B23" s="81"/>
      <c r="C23" s="59" t="s">
        <v>1230</v>
      </c>
      <c r="D23" s="45">
        <v>1</v>
      </c>
      <c r="E23" s="44"/>
      <c r="I23" s="46" t="s">
        <v>527</v>
      </c>
      <c r="J23" s="47">
        <v>1</v>
      </c>
      <c r="K23" s="48"/>
      <c r="L23" s="11"/>
      <c r="O23" s="54" t="s">
        <v>440</v>
      </c>
      <c r="P23" s="55">
        <v>3</v>
      </c>
      <c r="Q23" s="48" t="s">
        <v>297</v>
      </c>
    </row>
    <row r="24" spans="1:17" x14ac:dyDescent="0.25">
      <c r="B24" s="81"/>
      <c r="C24" s="11"/>
      <c r="D24" s="32"/>
      <c r="I24" s="46" t="s">
        <v>528</v>
      </c>
      <c r="J24" s="47">
        <v>1</v>
      </c>
      <c r="K24" s="48"/>
      <c r="L24" s="11"/>
      <c r="O24" s="54" t="s">
        <v>365</v>
      </c>
      <c r="P24" s="55">
        <v>3</v>
      </c>
      <c r="Q24" s="48" t="s">
        <v>297</v>
      </c>
    </row>
    <row r="25" spans="1:17" x14ac:dyDescent="0.25">
      <c r="A25" s="74" t="s">
        <v>112</v>
      </c>
      <c r="B25" s="122">
        <v>0</v>
      </c>
      <c r="C25" s="59" t="s">
        <v>1413</v>
      </c>
      <c r="D25" s="60">
        <v>1</v>
      </c>
      <c r="E25" s="44"/>
      <c r="I25" s="46" t="s">
        <v>529</v>
      </c>
      <c r="J25" s="47">
        <v>1</v>
      </c>
      <c r="K25" s="48"/>
      <c r="L25" s="11"/>
      <c r="O25" s="14" t="s">
        <v>1181</v>
      </c>
      <c r="P25" s="55">
        <v>4</v>
      </c>
      <c r="Q25" s="57" t="s">
        <v>279</v>
      </c>
    </row>
    <row r="26" spans="1:17" x14ac:dyDescent="0.25">
      <c r="B26" s="81"/>
      <c r="C26" s="59" t="s">
        <v>1414</v>
      </c>
      <c r="D26" s="60">
        <v>1</v>
      </c>
      <c r="E26" s="14"/>
      <c r="I26" s="46" t="s">
        <v>530</v>
      </c>
      <c r="J26" s="47">
        <v>1</v>
      </c>
      <c r="K26" s="48"/>
      <c r="L26" s="11"/>
      <c r="O26" s="14" t="s">
        <v>1182</v>
      </c>
      <c r="P26" s="55">
        <v>4</v>
      </c>
      <c r="Q26" s="57" t="s">
        <v>279</v>
      </c>
    </row>
    <row r="27" spans="1:17" x14ac:dyDescent="0.25">
      <c r="I27" s="46" t="s">
        <v>531</v>
      </c>
      <c r="J27" s="47">
        <v>1</v>
      </c>
      <c r="K27" s="48"/>
      <c r="L27" s="11"/>
      <c r="O27" s="14" t="s">
        <v>1183</v>
      </c>
      <c r="P27" s="55">
        <v>4</v>
      </c>
      <c r="Q27" s="57" t="s">
        <v>279</v>
      </c>
    </row>
    <row r="28" spans="1:17" x14ac:dyDescent="0.25">
      <c r="A28" s="74" t="s">
        <v>1240</v>
      </c>
      <c r="B28" s="78">
        <v>0.1</v>
      </c>
      <c r="C28" s="14" t="s">
        <v>1220</v>
      </c>
      <c r="D28" s="61">
        <v>1</v>
      </c>
      <c r="E28" s="44"/>
      <c r="I28" s="46" t="s">
        <v>532</v>
      </c>
      <c r="J28" s="47">
        <v>1</v>
      </c>
      <c r="K28" s="48"/>
      <c r="L28" s="11"/>
      <c r="O28" s="54" t="s">
        <v>1184</v>
      </c>
      <c r="P28" s="55">
        <v>1</v>
      </c>
      <c r="Q28" s="57"/>
    </row>
    <row r="29" spans="1:17" x14ac:dyDescent="0.25">
      <c r="A29" s="50"/>
      <c r="B29" s="80"/>
      <c r="C29" s="14" t="s">
        <v>1221</v>
      </c>
      <c r="D29" s="61">
        <v>2</v>
      </c>
      <c r="E29" s="44"/>
      <c r="I29" s="46" t="s">
        <v>533</v>
      </c>
      <c r="J29" s="47">
        <v>1</v>
      </c>
      <c r="K29" s="48"/>
      <c r="L29" s="11"/>
      <c r="O29" s="14" t="s">
        <v>1185</v>
      </c>
      <c r="P29" s="55">
        <v>4</v>
      </c>
      <c r="Q29" s="57" t="s">
        <v>279</v>
      </c>
    </row>
    <row r="30" spans="1:17" x14ac:dyDescent="0.25">
      <c r="A30" s="50"/>
      <c r="B30" s="80"/>
      <c r="C30" s="14" t="s">
        <v>1223</v>
      </c>
      <c r="D30" s="61">
        <v>3</v>
      </c>
      <c r="E30" s="44"/>
      <c r="I30" s="46" t="s">
        <v>534</v>
      </c>
      <c r="J30" s="47">
        <v>1</v>
      </c>
      <c r="K30" s="48"/>
      <c r="L30" s="11"/>
      <c r="O30" s="54" t="s">
        <v>1186</v>
      </c>
      <c r="P30" s="55">
        <v>3</v>
      </c>
      <c r="Q30" s="48" t="s">
        <v>297</v>
      </c>
    </row>
    <row r="31" spans="1:17" x14ac:dyDescent="0.25">
      <c r="A31" s="50"/>
      <c r="B31" s="80"/>
      <c r="C31" s="14" t="s">
        <v>1224</v>
      </c>
      <c r="D31" s="61">
        <v>2</v>
      </c>
      <c r="E31" s="44"/>
      <c r="I31" s="46" t="s">
        <v>535</v>
      </c>
      <c r="J31" s="47">
        <v>1</v>
      </c>
      <c r="K31" s="48"/>
      <c r="L31" s="11"/>
      <c r="O31" s="16" t="s">
        <v>448</v>
      </c>
      <c r="P31" s="47">
        <v>1</v>
      </c>
      <c r="Q31" s="57"/>
    </row>
    <row r="32" spans="1:17" x14ac:dyDescent="0.25">
      <c r="A32" s="50"/>
      <c r="B32" s="80"/>
      <c r="C32" s="59" t="s">
        <v>1222</v>
      </c>
      <c r="D32" s="61">
        <v>2</v>
      </c>
      <c r="E32" s="44"/>
      <c r="I32" s="46" t="s">
        <v>536</v>
      </c>
      <c r="J32" s="47">
        <v>1</v>
      </c>
      <c r="K32" s="48"/>
      <c r="L32" s="11"/>
      <c r="O32" s="54" t="s">
        <v>366</v>
      </c>
      <c r="P32" s="55">
        <v>3</v>
      </c>
      <c r="Q32" s="48" t="s">
        <v>297</v>
      </c>
    </row>
    <row r="33" spans="1:17" x14ac:dyDescent="0.25">
      <c r="A33" s="62"/>
      <c r="B33" s="82"/>
      <c r="D33" s="32"/>
      <c r="I33" s="46" t="s">
        <v>537</v>
      </c>
      <c r="J33" s="47">
        <v>3</v>
      </c>
      <c r="K33" s="48" t="s">
        <v>3</v>
      </c>
      <c r="L33" s="11"/>
      <c r="O33" s="56" t="s">
        <v>1187</v>
      </c>
      <c r="P33" s="55">
        <v>4</v>
      </c>
      <c r="Q33" s="57" t="s">
        <v>279</v>
      </c>
    </row>
    <row r="34" spans="1:17" x14ac:dyDescent="0.25">
      <c r="A34" s="76" t="s">
        <v>113</v>
      </c>
      <c r="B34" s="78" t="s">
        <v>303</v>
      </c>
      <c r="C34" s="59" t="s">
        <v>313</v>
      </c>
      <c r="D34" s="61">
        <v>2</v>
      </c>
      <c r="E34" s="44"/>
      <c r="I34" s="46" t="s">
        <v>538</v>
      </c>
      <c r="J34" s="47">
        <v>3</v>
      </c>
      <c r="K34" s="48"/>
      <c r="L34" s="11"/>
      <c r="O34" s="54" t="s">
        <v>367</v>
      </c>
      <c r="P34" s="55">
        <v>3</v>
      </c>
      <c r="Q34" s="48" t="s">
        <v>297</v>
      </c>
    </row>
    <row r="35" spans="1:17" x14ac:dyDescent="0.25">
      <c r="A35" s="64"/>
      <c r="B35" s="81"/>
      <c r="C35" s="59" t="s">
        <v>412</v>
      </c>
      <c r="D35" s="61">
        <v>3</v>
      </c>
      <c r="E35" s="44" t="s">
        <v>297</v>
      </c>
      <c r="I35" s="46" t="s">
        <v>539</v>
      </c>
      <c r="J35" s="47">
        <v>1</v>
      </c>
      <c r="K35" s="48"/>
      <c r="L35" s="11"/>
      <c r="O35" s="54" t="s">
        <v>1228</v>
      </c>
      <c r="P35" s="55">
        <v>1</v>
      </c>
      <c r="Q35" s="57"/>
    </row>
    <row r="36" spans="1:17" x14ac:dyDescent="0.25">
      <c r="A36" s="64"/>
      <c r="B36" s="83"/>
      <c r="C36" s="59" t="s">
        <v>1234</v>
      </c>
      <c r="D36" s="65">
        <v>2</v>
      </c>
      <c r="E36" s="44"/>
      <c r="I36" s="46" t="s">
        <v>540</v>
      </c>
      <c r="J36" s="47">
        <v>1</v>
      </c>
      <c r="K36" s="48"/>
      <c r="L36" s="11"/>
      <c r="O36" s="14" t="s">
        <v>449</v>
      </c>
      <c r="P36" s="55">
        <v>3</v>
      </c>
      <c r="Q36" s="48" t="s">
        <v>297</v>
      </c>
    </row>
    <row r="37" spans="1:17" ht="15" customHeight="1" x14ac:dyDescent="0.25">
      <c r="B37" s="81"/>
      <c r="C37" s="52" t="s">
        <v>278</v>
      </c>
      <c r="D37" s="32">
        <v>0</v>
      </c>
      <c r="I37" s="46" t="s">
        <v>541</v>
      </c>
      <c r="J37" s="47">
        <v>1</v>
      </c>
      <c r="K37" s="48"/>
      <c r="L37" s="11"/>
      <c r="O37" s="54" t="s">
        <v>1342</v>
      </c>
      <c r="P37" s="55">
        <v>3</v>
      </c>
      <c r="Q37" s="48" t="s">
        <v>297</v>
      </c>
    </row>
    <row r="38" spans="1:17" ht="40.5" x14ac:dyDescent="0.25">
      <c r="A38" s="30" t="s">
        <v>291</v>
      </c>
      <c r="B38" s="78">
        <v>0.15</v>
      </c>
      <c r="C38" s="44" t="s">
        <v>1233</v>
      </c>
      <c r="D38" s="60">
        <v>1</v>
      </c>
      <c r="E38" s="44"/>
      <c r="I38" s="46" t="s">
        <v>542</v>
      </c>
      <c r="J38" s="47">
        <v>1</v>
      </c>
      <c r="K38" s="48"/>
      <c r="L38" s="11"/>
      <c r="O38" s="54" t="s">
        <v>1343</v>
      </c>
      <c r="P38" s="55">
        <v>1</v>
      </c>
      <c r="Q38" s="57"/>
    </row>
    <row r="39" spans="1:17" x14ac:dyDescent="0.25">
      <c r="B39" s="81"/>
      <c r="C39" s="44" t="s">
        <v>1231</v>
      </c>
      <c r="D39" s="60">
        <v>2</v>
      </c>
      <c r="E39" s="44"/>
      <c r="I39" s="46" t="s">
        <v>543</v>
      </c>
      <c r="J39" s="47">
        <v>1</v>
      </c>
      <c r="K39" s="48"/>
      <c r="L39" s="11"/>
      <c r="O39" s="14" t="s">
        <v>1188</v>
      </c>
      <c r="P39" s="55">
        <v>4</v>
      </c>
      <c r="Q39" s="57" t="s">
        <v>279</v>
      </c>
    </row>
    <row r="40" spans="1:17" x14ac:dyDescent="0.25">
      <c r="B40" s="81"/>
      <c r="C40" s="44" t="s">
        <v>1232</v>
      </c>
      <c r="D40" s="60">
        <v>3</v>
      </c>
      <c r="E40" s="44"/>
      <c r="I40" s="46" t="s">
        <v>544</v>
      </c>
      <c r="J40" s="47">
        <v>1</v>
      </c>
      <c r="K40" s="48"/>
      <c r="L40" s="11"/>
      <c r="O40" s="14" t="s">
        <v>1189</v>
      </c>
      <c r="P40" s="55">
        <v>3</v>
      </c>
      <c r="Q40" s="48" t="s">
        <v>297</v>
      </c>
    </row>
    <row r="41" spans="1:17" x14ac:dyDescent="0.25">
      <c r="B41" s="81"/>
      <c r="I41" s="46" t="s">
        <v>545</v>
      </c>
      <c r="J41" s="47">
        <v>2</v>
      </c>
      <c r="K41" s="48"/>
      <c r="L41" s="11"/>
      <c r="O41" s="54" t="s">
        <v>368</v>
      </c>
      <c r="P41" s="55">
        <v>2</v>
      </c>
      <c r="Q41" s="57"/>
    </row>
    <row r="42" spans="1:17" ht="27" x14ac:dyDescent="0.25">
      <c r="A42" s="79" t="s">
        <v>1303</v>
      </c>
      <c r="B42" s="177" t="s">
        <v>303</v>
      </c>
      <c r="C42" s="44" t="s">
        <v>1236</v>
      </c>
      <c r="D42" s="60">
        <v>0</v>
      </c>
      <c r="E42" s="14" t="s">
        <v>1239</v>
      </c>
      <c r="I42" s="46" t="s">
        <v>546</v>
      </c>
      <c r="J42" s="47">
        <v>1</v>
      </c>
      <c r="K42" s="48"/>
      <c r="L42" s="11"/>
      <c r="O42" s="54" t="s">
        <v>437</v>
      </c>
      <c r="P42" s="55">
        <v>3</v>
      </c>
      <c r="Q42" s="48" t="s">
        <v>297</v>
      </c>
    </row>
    <row r="43" spans="1:17" x14ac:dyDescent="0.25">
      <c r="B43" s="81"/>
      <c r="C43" s="14" t="s">
        <v>1418</v>
      </c>
      <c r="D43" s="61">
        <v>3</v>
      </c>
      <c r="E43" s="14" t="s">
        <v>1341</v>
      </c>
      <c r="I43" s="46" t="s">
        <v>547</v>
      </c>
      <c r="J43" s="47">
        <v>1</v>
      </c>
      <c r="K43" s="48"/>
      <c r="L43" s="11"/>
      <c r="O43" s="56" t="s">
        <v>369</v>
      </c>
      <c r="P43" s="55">
        <v>3</v>
      </c>
      <c r="Q43" s="57"/>
    </row>
    <row r="44" spans="1:17" x14ac:dyDescent="0.25">
      <c r="B44" s="81"/>
      <c r="C44" s="59" t="s">
        <v>428</v>
      </c>
      <c r="D44" s="61">
        <v>0</v>
      </c>
      <c r="E44" s="14" t="s">
        <v>1239</v>
      </c>
      <c r="I44" s="46" t="s">
        <v>548</v>
      </c>
      <c r="J44" s="47">
        <v>1</v>
      </c>
      <c r="K44" s="48"/>
      <c r="L44" s="11"/>
      <c r="O44" s="54" t="s">
        <v>450</v>
      </c>
      <c r="P44" s="55">
        <v>2</v>
      </c>
      <c r="Q44" s="49"/>
    </row>
    <row r="45" spans="1:17" x14ac:dyDescent="0.25">
      <c r="B45" s="81"/>
      <c r="C45" s="59" t="s">
        <v>1237</v>
      </c>
      <c r="D45" s="61">
        <v>3</v>
      </c>
      <c r="E45" s="14" t="s">
        <v>1341</v>
      </c>
      <c r="I45" s="46" t="s">
        <v>549</v>
      </c>
      <c r="J45" s="47">
        <v>1</v>
      </c>
      <c r="K45" s="48"/>
      <c r="L45" s="11"/>
      <c r="O45" s="54" t="s">
        <v>451</v>
      </c>
      <c r="P45" s="55">
        <v>2</v>
      </c>
      <c r="Q45" s="49"/>
    </row>
    <row r="46" spans="1:17" x14ac:dyDescent="0.25">
      <c r="C46" s="59" t="s">
        <v>1238</v>
      </c>
      <c r="D46" s="61">
        <v>4</v>
      </c>
      <c r="E46" s="14" t="s">
        <v>279</v>
      </c>
      <c r="I46" s="46" t="s">
        <v>550</v>
      </c>
      <c r="J46" s="47">
        <v>3</v>
      </c>
      <c r="K46" s="48"/>
      <c r="L46" s="11"/>
      <c r="O46" s="54" t="s">
        <v>1216</v>
      </c>
      <c r="P46" s="55">
        <v>3</v>
      </c>
      <c r="Q46" s="48" t="s">
        <v>297</v>
      </c>
    </row>
    <row r="47" spans="1:17" x14ac:dyDescent="0.25">
      <c r="C47" s="11"/>
      <c r="D47" s="32"/>
      <c r="I47" s="46" t="s">
        <v>551</v>
      </c>
      <c r="J47" s="47">
        <v>1</v>
      </c>
      <c r="K47" s="48"/>
      <c r="L47" s="11"/>
      <c r="O47" s="54" t="s">
        <v>370</v>
      </c>
      <c r="P47" s="55">
        <v>3</v>
      </c>
      <c r="Q47" s="48" t="s">
        <v>297</v>
      </c>
    </row>
    <row r="48" spans="1:17" x14ac:dyDescent="0.25">
      <c r="C48" s="11"/>
      <c r="D48" s="32"/>
      <c r="I48" s="46" t="s">
        <v>552</v>
      </c>
      <c r="J48" s="47">
        <v>1</v>
      </c>
      <c r="K48" s="48"/>
      <c r="L48" s="11"/>
      <c r="O48" s="14" t="s">
        <v>371</v>
      </c>
      <c r="P48" s="55">
        <v>2</v>
      </c>
      <c r="Q48" s="49"/>
    </row>
    <row r="49" spans="1:17" x14ac:dyDescent="0.25">
      <c r="C49" s="11"/>
      <c r="D49" s="32"/>
      <c r="I49" s="46" t="s">
        <v>553</v>
      </c>
      <c r="J49" s="47">
        <v>1</v>
      </c>
      <c r="K49" s="48"/>
      <c r="L49" s="11"/>
      <c r="O49" s="14" t="s">
        <v>1190</v>
      </c>
      <c r="P49" s="55">
        <v>4</v>
      </c>
      <c r="Q49" s="57" t="s">
        <v>279</v>
      </c>
    </row>
    <row r="50" spans="1:17" x14ac:dyDescent="0.25">
      <c r="C50" s="11"/>
      <c r="D50" s="32"/>
      <c r="I50" s="46" t="s">
        <v>554</v>
      </c>
      <c r="J50" s="47">
        <v>1</v>
      </c>
      <c r="K50" s="48"/>
      <c r="L50" s="11"/>
      <c r="O50" s="54" t="s">
        <v>1344</v>
      </c>
      <c r="P50" s="55">
        <v>3</v>
      </c>
      <c r="Q50" s="48" t="s">
        <v>297</v>
      </c>
    </row>
    <row r="51" spans="1:17" x14ac:dyDescent="0.25">
      <c r="B51" s="51"/>
      <c r="C51" s="11"/>
      <c r="D51" s="32"/>
      <c r="I51" s="46" t="s">
        <v>555</v>
      </c>
      <c r="J51" s="47">
        <v>1</v>
      </c>
      <c r="K51" s="48"/>
      <c r="L51" s="11"/>
      <c r="O51" s="67" t="s">
        <v>372</v>
      </c>
      <c r="P51" s="55">
        <v>3</v>
      </c>
      <c r="Q51" s="48" t="s">
        <v>297</v>
      </c>
    </row>
    <row r="52" spans="1:17" x14ac:dyDescent="0.25">
      <c r="B52" s="51"/>
      <c r="C52" s="11"/>
      <c r="D52" s="32"/>
      <c r="I52" s="46" t="s">
        <v>87</v>
      </c>
      <c r="J52" s="47">
        <v>3</v>
      </c>
      <c r="K52" s="48"/>
      <c r="L52" s="11"/>
      <c r="O52" s="67" t="s">
        <v>1430</v>
      </c>
      <c r="P52" s="55">
        <v>2</v>
      </c>
      <c r="Q52" s="48"/>
    </row>
    <row r="53" spans="1:17" x14ac:dyDescent="0.25">
      <c r="B53" s="51"/>
      <c r="C53" s="11"/>
      <c r="D53" s="32"/>
      <c r="I53" s="46" t="s">
        <v>556</v>
      </c>
      <c r="J53" s="47">
        <v>1</v>
      </c>
      <c r="K53" s="48"/>
      <c r="L53" s="11"/>
      <c r="O53" s="67" t="s">
        <v>1431</v>
      </c>
      <c r="P53" s="55">
        <v>3</v>
      </c>
      <c r="Q53" s="48" t="s">
        <v>297</v>
      </c>
    </row>
    <row r="54" spans="1:17" x14ac:dyDescent="0.25">
      <c r="A54" s="66"/>
      <c r="B54" s="63"/>
      <c r="D54" s="32"/>
      <c r="I54" s="46" t="s">
        <v>557</v>
      </c>
      <c r="J54" s="47">
        <v>1</v>
      </c>
      <c r="K54" s="48"/>
      <c r="L54" s="11"/>
      <c r="O54" s="54" t="s">
        <v>452</v>
      </c>
      <c r="P54" s="55">
        <v>3</v>
      </c>
      <c r="Q54" s="48" t="s">
        <v>297</v>
      </c>
    </row>
    <row r="55" spans="1:17" x14ac:dyDescent="0.25">
      <c r="A55" s="66"/>
      <c r="B55" s="11"/>
      <c r="D55" s="32"/>
      <c r="H55" s="53"/>
      <c r="I55" s="46" t="s">
        <v>558</v>
      </c>
      <c r="J55" s="47">
        <v>1</v>
      </c>
      <c r="K55" s="48"/>
      <c r="L55" s="11"/>
      <c r="O55" s="56" t="s">
        <v>373</v>
      </c>
      <c r="P55" s="55">
        <v>1</v>
      </c>
      <c r="Q55" s="49"/>
    </row>
    <row r="56" spans="1:17" x14ac:dyDescent="0.25">
      <c r="A56" s="50"/>
      <c r="B56" s="51"/>
      <c r="D56" s="32"/>
      <c r="I56" s="46" t="s">
        <v>559</v>
      </c>
      <c r="J56" s="47">
        <v>1</v>
      </c>
      <c r="K56" s="48"/>
      <c r="L56" s="11"/>
      <c r="O56" s="56" t="s">
        <v>453</v>
      </c>
      <c r="P56" s="55">
        <v>2</v>
      </c>
      <c r="Q56" s="49"/>
    </row>
    <row r="57" spans="1:17" x14ac:dyDescent="0.25">
      <c r="C57" s="11"/>
      <c r="D57" s="32"/>
      <c r="I57" s="46" t="s">
        <v>560</v>
      </c>
      <c r="J57" s="47">
        <v>1</v>
      </c>
      <c r="K57" s="48"/>
      <c r="L57" s="11"/>
      <c r="O57" s="56" t="s">
        <v>374</v>
      </c>
      <c r="P57" s="55">
        <v>3</v>
      </c>
      <c r="Q57" s="48" t="s">
        <v>297</v>
      </c>
    </row>
    <row r="58" spans="1:17" x14ac:dyDescent="0.25">
      <c r="C58" s="11"/>
      <c r="D58" s="32"/>
      <c r="I58" s="46" t="s">
        <v>561</v>
      </c>
      <c r="J58" s="47">
        <v>1</v>
      </c>
      <c r="K58" s="48"/>
      <c r="L58" s="11"/>
      <c r="O58" s="56" t="s">
        <v>375</v>
      </c>
      <c r="P58" s="55">
        <v>1</v>
      </c>
      <c r="Q58" s="48"/>
    </row>
    <row r="59" spans="1:17" x14ac:dyDescent="0.25">
      <c r="A59" s="11"/>
      <c r="B59" s="11"/>
      <c r="C59" s="11"/>
      <c r="D59" s="32"/>
      <c r="I59" s="46" t="s">
        <v>562</v>
      </c>
      <c r="J59" s="47">
        <v>1</v>
      </c>
      <c r="K59" s="48"/>
      <c r="L59" s="11"/>
      <c r="O59" s="68" t="s">
        <v>376</v>
      </c>
      <c r="P59" s="55">
        <v>2</v>
      </c>
      <c r="Q59" s="49"/>
    </row>
    <row r="60" spans="1:17" x14ac:dyDescent="0.25">
      <c r="A60" s="52"/>
      <c r="B60" s="52"/>
      <c r="C60" s="11"/>
      <c r="D60" s="32"/>
      <c r="I60" s="46" t="s">
        <v>563</v>
      </c>
      <c r="J60" s="47">
        <v>2</v>
      </c>
      <c r="K60" s="48"/>
      <c r="L60" s="11"/>
      <c r="O60" s="16" t="s">
        <v>454</v>
      </c>
      <c r="P60" s="47">
        <v>1</v>
      </c>
      <c r="Q60" s="49"/>
    </row>
    <row r="61" spans="1:17" x14ac:dyDescent="0.25">
      <c r="A61" s="52"/>
      <c r="B61" s="52"/>
      <c r="C61" s="11"/>
      <c r="D61" s="32"/>
      <c r="I61" s="46" t="s">
        <v>564</v>
      </c>
      <c r="J61" s="47">
        <v>3</v>
      </c>
      <c r="K61" s="48"/>
      <c r="L61" s="11"/>
      <c r="O61" s="16" t="s">
        <v>455</v>
      </c>
      <c r="P61" s="47">
        <v>1</v>
      </c>
      <c r="Q61" s="49"/>
    </row>
    <row r="62" spans="1:17" x14ac:dyDescent="0.25">
      <c r="C62" s="11"/>
      <c r="D62" s="32"/>
      <c r="I62" s="46" t="s">
        <v>88</v>
      </c>
      <c r="J62" s="47">
        <v>2</v>
      </c>
      <c r="K62" s="48"/>
      <c r="L62" s="11"/>
      <c r="O62" s="56" t="s">
        <v>377</v>
      </c>
      <c r="P62" s="55">
        <v>2</v>
      </c>
      <c r="Q62" s="48"/>
    </row>
    <row r="63" spans="1:17" x14ac:dyDescent="0.25">
      <c r="C63" s="11"/>
      <c r="D63" s="32"/>
      <c r="I63" s="46" t="s">
        <v>565</v>
      </c>
      <c r="J63" s="47">
        <v>2</v>
      </c>
      <c r="K63" s="48"/>
      <c r="L63" s="11"/>
      <c r="O63" s="69" t="s">
        <v>1191</v>
      </c>
      <c r="P63" s="55">
        <v>4</v>
      </c>
      <c r="Q63" s="57" t="s">
        <v>279</v>
      </c>
    </row>
    <row r="64" spans="1:17" x14ac:dyDescent="0.25">
      <c r="C64" s="11"/>
      <c r="D64" s="32"/>
      <c r="I64" s="46" t="s">
        <v>89</v>
      </c>
      <c r="J64" s="47">
        <v>1</v>
      </c>
      <c r="K64" s="48"/>
      <c r="L64" s="11"/>
      <c r="O64" s="69" t="s">
        <v>1215</v>
      </c>
      <c r="P64" s="55">
        <v>3</v>
      </c>
      <c r="Q64" s="48" t="s">
        <v>297</v>
      </c>
    </row>
    <row r="65" spans="1:17" x14ac:dyDescent="0.25">
      <c r="A65" s="64"/>
      <c r="B65" s="52"/>
      <c r="C65" s="11"/>
      <c r="D65" s="32"/>
      <c r="I65" s="46" t="s">
        <v>566</v>
      </c>
      <c r="J65" s="47">
        <v>1</v>
      </c>
      <c r="K65" s="48"/>
      <c r="L65" s="11"/>
      <c r="O65" s="56" t="s">
        <v>456</v>
      </c>
      <c r="P65" s="55">
        <v>3</v>
      </c>
      <c r="Q65" s="49"/>
    </row>
    <row r="66" spans="1:17" x14ac:dyDescent="0.25">
      <c r="A66" s="64"/>
      <c r="B66" s="52"/>
      <c r="C66" s="11"/>
      <c r="D66" s="32"/>
      <c r="I66" s="46" t="s">
        <v>567</v>
      </c>
      <c r="J66" s="47">
        <v>2</v>
      </c>
      <c r="K66" s="48"/>
      <c r="L66" s="11"/>
      <c r="O66" s="54" t="s">
        <v>1203</v>
      </c>
      <c r="P66" s="55">
        <v>4</v>
      </c>
      <c r="Q66" s="57" t="s">
        <v>279</v>
      </c>
    </row>
    <row r="67" spans="1:17" x14ac:dyDescent="0.25">
      <c r="A67" s="64"/>
      <c r="C67" s="11"/>
      <c r="D67" s="32"/>
      <c r="I67" s="46" t="s">
        <v>568</v>
      </c>
      <c r="J67" s="47">
        <v>1</v>
      </c>
      <c r="K67" s="48"/>
      <c r="L67" s="11"/>
      <c r="O67" s="54" t="s">
        <v>378</v>
      </c>
      <c r="P67" s="55">
        <v>2</v>
      </c>
      <c r="Q67" s="48"/>
    </row>
    <row r="68" spans="1:17" x14ac:dyDescent="0.25">
      <c r="A68" s="64"/>
      <c r="C68" s="11"/>
      <c r="D68" s="32"/>
      <c r="I68" s="46" t="s">
        <v>569</v>
      </c>
      <c r="J68" s="47">
        <v>1</v>
      </c>
      <c r="K68" s="48"/>
      <c r="L68" s="11"/>
      <c r="O68" s="54" t="s">
        <v>379</v>
      </c>
      <c r="P68" s="55">
        <v>3</v>
      </c>
      <c r="Q68" s="57"/>
    </row>
    <row r="69" spans="1:17" x14ac:dyDescent="0.25">
      <c r="C69" s="11"/>
      <c r="D69" s="32"/>
      <c r="I69" s="46" t="s">
        <v>570</v>
      </c>
      <c r="J69" s="47">
        <v>1</v>
      </c>
      <c r="K69" s="48"/>
      <c r="L69" s="11"/>
      <c r="O69" s="16" t="s">
        <v>457</v>
      </c>
      <c r="P69" s="47">
        <v>1</v>
      </c>
      <c r="Q69" s="49"/>
    </row>
    <row r="70" spans="1:17" x14ac:dyDescent="0.25">
      <c r="C70" s="11"/>
      <c r="D70" s="32"/>
      <c r="I70" s="46" t="s">
        <v>571</v>
      </c>
      <c r="J70" s="47">
        <v>1</v>
      </c>
      <c r="K70" s="48"/>
      <c r="L70" s="11"/>
      <c r="O70" s="54" t="s">
        <v>380</v>
      </c>
      <c r="P70" s="55">
        <v>3</v>
      </c>
      <c r="Q70" s="48" t="s">
        <v>297</v>
      </c>
    </row>
    <row r="71" spans="1:17" x14ac:dyDescent="0.25">
      <c r="C71" s="11"/>
      <c r="D71" s="32"/>
      <c r="I71" s="46" t="s">
        <v>572</v>
      </c>
      <c r="J71" s="47">
        <v>1</v>
      </c>
      <c r="K71" s="48"/>
      <c r="L71" s="11"/>
      <c r="O71" s="16" t="s">
        <v>1192</v>
      </c>
      <c r="P71" s="55">
        <v>4</v>
      </c>
      <c r="Q71" s="57" t="s">
        <v>279</v>
      </c>
    </row>
    <row r="72" spans="1:17" x14ac:dyDescent="0.25">
      <c r="C72" s="11"/>
      <c r="D72" s="32"/>
      <c r="I72" s="46" t="s">
        <v>573</v>
      </c>
      <c r="J72" s="47">
        <v>1</v>
      </c>
      <c r="K72" s="48"/>
      <c r="L72" s="11"/>
      <c r="O72" s="14" t="s">
        <v>1193</v>
      </c>
      <c r="P72" s="55">
        <v>4</v>
      </c>
      <c r="Q72" s="57" t="s">
        <v>279</v>
      </c>
    </row>
    <row r="73" spans="1:17" x14ac:dyDescent="0.25">
      <c r="C73" s="11"/>
      <c r="D73" s="32"/>
      <c r="I73" s="46" t="s">
        <v>574</v>
      </c>
      <c r="J73" s="47">
        <v>1</v>
      </c>
      <c r="K73" s="48"/>
      <c r="L73" s="11"/>
      <c r="O73" s="54" t="s">
        <v>381</v>
      </c>
      <c r="P73" s="55">
        <v>1</v>
      </c>
      <c r="Q73" s="57"/>
    </row>
    <row r="74" spans="1:17" x14ac:dyDescent="0.25">
      <c r="C74" s="11"/>
      <c r="D74" s="32"/>
      <c r="I74" s="46" t="s">
        <v>575</v>
      </c>
      <c r="J74" s="47">
        <v>1</v>
      </c>
      <c r="K74" s="48"/>
      <c r="L74" s="11"/>
      <c r="O74" s="14" t="s">
        <v>1194</v>
      </c>
      <c r="P74" s="55">
        <v>4</v>
      </c>
      <c r="Q74" s="57" t="s">
        <v>279</v>
      </c>
    </row>
    <row r="75" spans="1:17" x14ac:dyDescent="0.25">
      <c r="C75" s="11"/>
      <c r="D75" s="32"/>
      <c r="I75" s="46" t="s">
        <v>576</v>
      </c>
      <c r="J75" s="47">
        <v>1</v>
      </c>
      <c r="K75" s="48"/>
      <c r="L75" s="11"/>
      <c r="O75" s="54" t="s">
        <v>458</v>
      </c>
      <c r="P75" s="55">
        <v>2</v>
      </c>
      <c r="Q75" s="49"/>
    </row>
    <row r="76" spans="1:17" x14ac:dyDescent="0.25">
      <c r="C76" s="11"/>
      <c r="D76" s="32"/>
      <c r="I76" s="46" t="s">
        <v>577</v>
      </c>
      <c r="J76" s="47">
        <v>2</v>
      </c>
      <c r="K76" s="48"/>
      <c r="L76" s="11"/>
      <c r="O76" s="54" t="s">
        <v>382</v>
      </c>
      <c r="P76" s="55">
        <v>1</v>
      </c>
      <c r="Q76" s="49"/>
    </row>
    <row r="77" spans="1:17" x14ac:dyDescent="0.25">
      <c r="C77" s="11"/>
      <c r="D77" s="32"/>
      <c r="I77" s="46" t="s">
        <v>578</v>
      </c>
      <c r="J77" s="47">
        <v>1</v>
      </c>
      <c r="K77" s="48"/>
      <c r="L77" s="11"/>
      <c r="O77" s="54" t="s">
        <v>1432</v>
      </c>
      <c r="P77" s="55"/>
      <c r="Q77" s="49"/>
    </row>
    <row r="78" spans="1:17" x14ac:dyDescent="0.25">
      <c r="C78" s="52"/>
      <c r="D78" s="32"/>
      <c r="I78" s="46" t="s">
        <v>579</v>
      </c>
      <c r="J78" s="47">
        <v>1</v>
      </c>
      <c r="K78" s="48"/>
      <c r="L78" s="11"/>
      <c r="O78" s="56" t="s">
        <v>441</v>
      </c>
      <c r="P78" s="55">
        <v>2</v>
      </c>
      <c r="Q78" s="57"/>
    </row>
    <row r="79" spans="1:17" x14ac:dyDescent="0.25">
      <c r="C79" s="52"/>
      <c r="D79" s="32"/>
      <c r="I79" s="46" t="s">
        <v>580</v>
      </c>
      <c r="J79" s="47">
        <v>3</v>
      </c>
      <c r="K79" s="48"/>
      <c r="L79" s="11"/>
      <c r="O79" s="56" t="s">
        <v>442</v>
      </c>
      <c r="P79" s="55">
        <v>3</v>
      </c>
      <c r="Q79" s="48" t="s">
        <v>297</v>
      </c>
    </row>
    <row r="80" spans="1:17" x14ac:dyDescent="0.25">
      <c r="C80" s="11"/>
      <c r="D80" s="32"/>
      <c r="I80" s="46" t="s">
        <v>581</v>
      </c>
      <c r="J80" s="47">
        <v>1</v>
      </c>
      <c r="K80" s="48"/>
      <c r="L80" s="11"/>
      <c r="O80" s="16" t="s">
        <v>1195</v>
      </c>
      <c r="P80" s="55">
        <v>4</v>
      </c>
      <c r="Q80" s="57" t="s">
        <v>279</v>
      </c>
    </row>
    <row r="81" spans="1:17" x14ac:dyDescent="0.25">
      <c r="C81" s="52"/>
      <c r="D81" s="32"/>
      <c r="I81" s="46" t="s">
        <v>582</v>
      </c>
      <c r="J81" s="47">
        <v>1</v>
      </c>
      <c r="K81" s="48"/>
      <c r="L81" s="11"/>
      <c r="O81" s="54" t="s">
        <v>383</v>
      </c>
      <c r="P81" s="55">
        <v>1</v>
      </c>
      <c r="Q81" s="49"/>
    </row>
    <row r="82" spans="1:17" x14ac:dyDescent="0.25">
      <c r="C82" s="52"/>
      <c r="D82" s="32"/>
      <c r="I82" s="46" t="s">
        <v>583</v>
      </c>
      <c r="J82" s="47">
        <v>1</v>
      </c>
      <c r="K82" s="48"/>
      <c r="L82" s="11"/>
      <c r="O82" s="56" t="s">
        <v>459</v>
      </c>
      <c r="P82" s="55">
        <v>3</v>
      </c>
      <c r="Q82" s="49"/>
    </row>
    <row r="83" spans="1:17" x14ac:dyDescent="0.25">
      <c r="C83" s="52"/>
      <c r="D83" s="32"/>
      <c r="I83" s="46" t="s">
        <v>584</v>
      </c>
      <c r="J83" s="47">
        <v>1</v>
      </c>
      <c r="K83" s="48"/>
      <c r="L83" s="11"/>
      <c r="O83" s="56" t="s">
        <v>384</v>
      </c>
      <c r="P83" s="55">
        <v>3</v>
      </c>
      <c r="Q83" s="48" t="s">
        <v>297</v>
      </c>
    </row>
    <row r="84" spans="1:17" x14ac:dyDescent="0.25">
      <c r="C84" s="11"/>
      <c r="D84" s="32"/>
      <c r="I84" s="46" t="s">
        <v>585</v>
      </c>
      <c r="J84" s="47">
        <v>3</v>
      </c>
      <c r="K84" s="48"/>
      <c r="L84" s="11"/>
      <c r="O84" s="54" t="s">
        <v>385</v>
      </c>
      <c r="P84" s="55">
        <v>4</v>
      </c>
      <c r="Q84" s="57" t="s">
        <v>279</v>
      </c>
    </row>
    <row r="85" spans="1:17" x14ac:dyDescent="0.25">
      <c r="C85" s="11"/>
      <c r="D85" s="32"/>
      <c r="I85" s="46" t="s">
        <v>586</v>
      </c>
      <c r="J85" s="47">
        <v>3</v>
      </c>
      <c r="K85" s="48" t="s">
        <v>3</v>
      </c>
      <c r="L85" s="11"/>
      <c r="O85" s="54" t="s">
        <v>386</v>
      </c>
      <c r="P85" s="55">
        <v>1</v>
      </c>
      <c r="Q85" s="49"/>
    </row>
    <row r="86" spans="1:17" x14ac:dyDescent="0.25">
      <c r="C86" s="11"/>
      <c r="D86" s="32"/>
      <c r="I86" s="46" t="s">
        <v>587</v>
      </c>
      <c r="J86" s="47">
        <v>1</v>
      </c>
      <c r="K86" s="48"/>
      <c r="L86" s="11"/>
      <c r="O86" s="54" t="s">
        <v>460</v>
      </c>
      <c r="P86" s="55">
        <v>2</v>
      </c>
      <c r="Q86" s="57"/>
    </row>
    <row r="87" spans="1:17" x14ac:dyDescent="0.25">
      <c r="C87" s="11"/>
      <c r="D87" s="32"/>
      <c r="I87" s="46" t="s">
        <v>588</v>
      </c>
      <c r="J87" s="47">
        <v>1</v>
      </c>
      <c r="K87" s="48"/>
      <c r="L87" s="11"/>
      <c r="O87" s="54" t="s">
        <v>1196</v>
      </c>
      <c r="P87" s="55">
        <v>4</v>
      </c>
      <c r="Q87" s="57" t="s">
        <v>279</v>
      </c>
    </row>
    <row r="88" spans="1:17" x14ac:dyDescent="0.25">
      <c r="C88" s="11"/>
      <c r="D88" s="32"/>
      <c r="I88" s="46" t="s">
        <v>589</v>
      </c>
      <c r="J88" s="47">
        <v>1</v>
      </c>
      <c r="K88" s="48"/>
      <c r="L88" s="11"/>
      <c r="O88" s="54" t="s">
        <v>461</v>
      </c>
      <c r="P88" s="55">
        <v>1</v>
      </c>
      <c r="Q88" s="49"/>
    </row>
    <row r="89" spans="1:17" x14ac:dyDescent="0.25">
      <c r="C89" s="11"/>
      <c r="D89" s="32"/>
      <c r="I89" s="46" t="s">
        <v>590</v>
      </c>
      <c r="J89" s="47">
        <v>2</v>
      </c>
      <c r="K89" s="48"/>
      <c r="L89" s="11"/>
      <c r="O89" s="54" t="s">
        <v>462</v>
      </c>
      <c r="P89" s="55">
        <v>1</v>
      </c>
      <c r="Q89" s="49"/>
    </row>
    <row r="90" spans="1:17" x14ac:dyDescent="0.25">
      <c r="C90" s="11"/>
      <c r="D90" s="32"/>
      <c r="I90" s="46" t="s">
        <v>591</v>
      </c>
      <c r="J90" s="47">
        <v>1</v>
      </c>
      <c r="K90" s="48"/>
      <c r="L90" s="11"/>
      <c r="O90" s="16" t="s">
        <v>463</v>
      </c>
      <c r="P90" s="47">
        <v>1</v>
      </c>
      <c r="Q90" s="49"/>
    </row>
    <row r="91" spans="1:17" x14ac:dyDescent="0.25">
      <c r="C91" s="11"/>
      <c r="D91" s="32"/>
      <c r="I91" s="46" t="s">
        <v>592</v>
      </c>
      <c r="J91" s="47">
        <v>1</v>
      </c>
      <c r="K91" s="48"/>
      <c r="L91" s="11"/>
      <c r="O91" s="16" t="s">
        <v>464</v>
      </c>
      <c r="P91" s="47">
        <v>1</v>
      </c>
      <c r="Q91" s="49"/>
    </row>
    <row r="92" spans="1:17" x14ac:dyDescent="0.25">
      <c r="A92" s="70"/>
      <c r="B92" s="70"/>
      <c r="C92" s="11"/>
      <c r="D92" s="32"/>
      <c r="I92" s="46" t="s">
        <v>593</v>
      </c>
      <c r="J92" s="47">
        <v>1</v>
      </c>
      <c r="K92" s="48"/>
      <c r="L92" s="11"/>
      <c r="O92" s="16" t="s">
        <v>465</v>
      </c>
      <c r="P92" s="47">
        <v>1</v>
      </c>
      <c r="Q92" s="49"/>
    </row>
    <row r="93" spans="1:17" x14ac:dyDescent="0.25">
      <c r="C93" s="11"/>
      <c r="D93" s="32"/>
      <c r="I93" s="46" t="s">
        <v>594</v>
      </c>
      <c r="J93" s="47">
        <v>3</v>
      </c>
      <c r="K93" s="48" t="s">
        <v>3</v>
      </c>
      <c r="L93" s="11"/>
      <c r="O93" s="16" t="s">
        <v>466</v>
      </c>
      <c r="P93" s="47">
        <v>1</v>
      </c>
      <c r="Q93" s="49"/>
    </row>
    <row r="94" spans="1:17" x14ac:dyDescent="0.25">
      <c r="C94" s="11"/>
      <c r="D94" s="32"/>
      <c r="I94" s="46" t="s">
        <v>595</v>
      </c>
      <c r="J94" s="47">
        <v>1</v>
      </c>
      <c r="K94" s="48"/>
      <c r="L94" s="11"/>
      <c r="O94" s="16" t="s">
        <v>467</v>
      </c>
      <c r="P94" s="47">
        <v>1</v>
      </c>
      <c r="Q94" s="49"/>
    </row>
    <row r="95" spans="1:17" x14ac:dyDescent="0.25">
      <c r="C95" s="11"/>
      <c r="D95" s="32"/>
      <c r="I95" s="46" t="s">
        <v>596</v>
      </c>
      <c r="J95" s="47">
        <v>3</v>
      </c>
      <c r="K95" s="48"/>
      <c r="L95" s="11"/>
      <c r="O95" s="16" t="s">
        <v>468</v>
      </c>
      <c r="P95" s="47">
        <v>1</v>
      </c>
      <c r="Q95" s="49"/>
    </row>
    <row r="96" spans="1:17" x14ac:dyDescent="0.25">
      <c r="C96" s="11"/>
      <c r="D96" s="32"/>
      <c r="I96" s="46" t="s">
        <v>597</v>
      </c>
      <c r="J96" s="47">
        <v>1</v>
      </c>
      <c r="K96" s="48"/>
      <c r="L96" s="11"/>
      <c r="O96" s="16" t="s">
        <v>469</v>
      </c>
      <c r="P96" s="55">
        <v>1</v>
      </c>
      <c r="Q96" s="49"/>
    </row>
    <row r="97" spans="3:17" x14ac:dyDescent="0.25">
      <c r="C97" s="11"/>
      <c r="D97" s="32"/>
      <c r="I97" s="46" t="s">
        <v>598</v>
      </c>
      <c r="J97" s="47">
        <v>1</v>
      </c>
      <c r="K97" s="48"/>
      <c r="L97" s="11"/>
      <c r="O97" s="16" t="s">
        <v>470</v>
      </c>
      <c r="P97" s="47">
        <v>1</v>
      </c>
      <c r="Q97" s="48"/>
    </row>
    <row r="98" spans="3:17" x14ac:dyDescent="0.25">
      <c r="C98" s="11"/>
      <c r="D98" s="32"/>
      <c r="I98" s="46" t="s">
        <v>599</v>
      </c>
      <c r="J98" s="47">
        <v>1</v>
      </c>
      <c r="K98" s="48"/>
      <c r="L98" s="11"/>
      <c r="O98" s="16" t="s">
        <v>471</v>
      </c>
      <c r="P98" s="47">
        <v>1</v>
      </c>
      <c r="Q98" s="57"/>
    </row>
    <row r="99" spans="3:17" x14ac:dyDescent="0.25">
      <c r="C99" s="11"/>
      <c r="D99" s="32"/>
      <c r="I99" s="46" t="s">
        <v>600</v>
      </c>
      <c r="J99" s="47">
        <v>1</v>
      </c>
      <c r="K99" s="48"/>
      <c r="L99" s="11"/>
      <c r="O99" s="16" t="s">
        <v>1197</v>
      </c>
      <c r="P99" s="47">
        <v>1</v>
      </c>
      <c r="Q99" s="49"/>
    </row>
    <row r="100" spans="3:17" x14ac:dyDescent="0.25">
      <c r="C100" s="11"/>
      <c r="D100" s="32"/>
      <c r="I100" s="46" t="s">
        <v>601</v>
      </c>
      <c r="J100" s="47">
        <v>1</v>
      </c>
      <c r="K100" s="48"/>
      <c r="L100" s="11"/>
      <c r="O100" s="16" t="s">
        <v>472</v>
      </c>
      <c r="P100" s="47">
        <v>1</v>
      </c>
      <c r="Q100" s="49"/>
    </row>
    <row r="101" spans="3:17" x14ac:dyDescent="0.25">
      <c r="C101" s="11"/>
      <c r="D101" s="32"/>
      <c r="I101" s="46" t="s">
        <v>602</v>
      </c>
      <c r="J101" s="47">
        <v>1</v>
      </c>
      <c r="K101" s="48"/>
      <c r="L101" s="11"/>
      <c r="O101" s="16" t="s">
        <v>473</v>
      </c>
      <c r="P101" s="47">
        <v>1</v>
      </c>
      <c r="Q101" s="49"/>
    </row>
    <row r="102" spans="3:17" x14ac:dyDescent="0.25">
      <c r="C102" s="11"/>
      <c r="D102" s="32"/>
      <c r="H102" s="53"/>
      <c r="I102" s="46" t="s">
        <v>90</v>
      </c>
      <c r="J102" s="47">
        <v>1</v>
      </c>
      <c r="K102" s="48"/>
      <c r="L102" s="11"/>
      <c r="O102" s="16" t="s">
        <v>474</v>
      </c>
      <c r="P102" s="47">
        <v>1</v>
      </c>
      <c r="Q102" s="49"/>
    </row>
    <row r="103" spans="3:17" x14ac:dyDescent="0.25">
      <c r="C103" s="11"/>
      <c r="D103" s="32"/>
      <c r="I103" s="46" t="s">
        <v>603</v>
      </c>
      <c r="J103" s="47">
        <v>1</v>
      </c>
      <c r="K103" s="48"/>
      <c r="L103" s="11"/>
      <c r="O103" s="16" t="s">
        <v>475</v>
      </c>
      <c r="P103" s="47">
        <v>1</v>
      </c>
      <c r="Q103" s="48"/>
    </row>
    <row r="104" spans="3:17" x14ac:dyDescent="0.25">
      <c r="C104" s="11"/>
      <c r="D104" s="32"/>
      <c r="I104" s="46" t="s">
        <v>604</v>
      </c>
      <c r="J104" s="47">
        <v>1</v>
      </c>
      <c r="K104" s="48"/>
      <c r="L104" s="11"/>
      <c r="O104" s="16" t="s">
        <v>476</v>
      </c>
      <c r="P104" s="47">
        <v>1</v>
      </c>
      <c r="Q104" s="48"/>
    </row>
    <row r="105" spans="3:17" x14ac:dyDescent="0.25">
      <c r="C105" s="11"/>
      <c r="D105" s="32"/>
      <c r="I105" s="46" t="s">
        <v>605</v>
      </c>
      <c r="J105" s="47">
        <v>3</v>
      </c>
      <c r="K105" s="48"/>
      <c r="L105" s="11"/>
      <c r="O105" s="16" t="s">
        <v>477</v>
      </c>
      <c r="P105" s="47">
        <v>1</v>
      </c>
      <c r="Q105" s="49"/>
    </row>
    <row r="106" spans="3:17" x14ac:dyDescent="0.25">
      <c r="C106" s="11"/>
      <c r="D106" s="32"/>
      <c r="I106" s="46" t="s">
        <v>315</v>
      </c>
      <c r="J106" s="47">
        <v>3</v>
      </c>
      <c r="K106" s="48"/>
      <c r="L106" s="11"/>
      <c r="O106" s="16" t="s">
        <v>478</v>
      </c>
      <c r="P106" s="47">
        <v>1</v>
      </c>
      <c r="Q106" s="49"/>
    </row>
    <row r="107" spans="3:17" x14ac:dyDescent="0.25">
      <c r="C107" s="11"/>
      <c r="D107" s="32"/>
      <c r="I107" s="46" t="s">
        <v>606</v>
      </c>
      <c r="J107" s="47">
        <v>1</v>
      </c>
      <c r="K107" s="48"/>
      <c r="L107" s="11"/>
      <c r="O107" s="56" t="s">
        <v>387</v>
      </c>
      <c r="P107" s="55">
        <v>3</v>
      </c>
      <c r="Q107" s="49"/>
    </row>
    <row r="108" spans="3:17" x14ac:dyDescent="0.25">
      <c r="C108" s="11"/>
      <c r="D108" s="32"/>
      <c r="I108" s="46" t="s">
        <v>607</v>
      </c>
      <c r="J108" s="47">
        <v>1</v>
      </c>
      <c r="K108" s="48"/>
      <c r="L108" s="11"/>
      <c r="O108" s="56" t="s">
        <v>293</v>
      </c>
      <c r="P108" s="55">
        <v>2</v>
      </c>
      <c r="Q108" s="49"/>
    </row>
    <row r="109" spans="3:17" x14ac:dyDescent="0.25">
      <c r="C109" s="11"/>
      <c r="D109" s="32"/>
      <c r="I109" s="46" t="s">
        <v>608</v>
      </c>
      <c r="J109" s="47">
        <v>1</v>
      </c>
      <c r="K109" s="48"/>
      <c r="L109" s="11"/>
      <c r="O109" s="54" t="s">
        <v>388</v>
      </c>
      <c r="P109" s="55">
        <v>1</v>
      </c>
      <c r="Q109" s="49"/>
    </row>
    <row r="110" spans="3:17" x14ac:dyDescent="0.25">
      <c r="C110" s="11"/>
      <c r="D110" s="32"/>
      <c r="I110" s="46" t="s">
        <v>316</v>
      </c>
      <c r="J110" s="47">
        <v>3</v>
      </c>
      <c r="K110" s="48"/>
      <c r="L110" s="11"/>
      <c r="O110" s="56" t="s">
        <v>479</v>
      </c>
      <c r="P110" s="55">
        <v>3</v>
      </c>
      <c r="Q110" s="57"/>
    </row>
    <row r="111" spans="3:17" x14ac:dyDescent="0.25">
      <c r="C111" s="11"/>
      <c r="D111" s="32"/>
      <c r="I111" s="46" t="s">
        <v>317</v>
      </c>
      <c r="J111" s="47">
        <v>2</v>
      </c>
      <c r="K111" s="48"/>
      <c r="L111" s="11"/>
      <c r="O111" s="14" t="s">
        <v>1198</v>
      </c>
      <c r="P111" s="55">
        <v>4</v>
      </c>
      <c r="Q111" s="57" t="s">
        <v>279</v>
      </c>
    </row>
    <row r="112" spans="3:17" x14ac:dyDescent="0.25">
      <c r="C112" s="11"/>
      <c r="D112" s="32"/>
      <c r="I112" s="46" t="s">
        <v>609</v>
      </c>
      <c r="J112" s="47">
        <v>2</v>
      </c>
      <c r="K112" s="48"/>
      <c r="L112" s="11"/>
      <c r="O112" s="56" t="s">
        <v>389</v>
      </c>
      <c r="P112" s="55">
        <v>1</v>
      </c>
      <c r="Q112" s="49"/>
    </row>
    <row r="113" spans="3:17" x14ac:dyDescent="0.25">
      <c r="C113" s="11"/>
      <c r="D113" s="32"/>
      <c r="I113" s="46" t="s">
        <v>1206</v>
      </c>
      <c r="J113" s="47">
        <v>3</v>
      </c>
      <c r="K113" s="48"/>
      <c r="L113" s="11"/>
      <c r="O113" s="56" t="s">
        <v>443</v>
      </c>
      <c r="P113" s="55">
        <v>3</v>
      </c>
      <c r="Q113" s="48" t="s">
        <v>297</v>
      </c>
    </row>
    <row r="114" spans="3:17" x14ac:dyDescent="0.25">
      <c r="C114" s="11"/>
      <c r="D114" s="32"/>
      <c r="I114" s="46" t="s">
        <v>610</v>
      </c>
      <c r="J114" s="47">
        <v>1</v>
      </c>
      <c r="K114" s="48"/>
      <c r="L114" s="11"/>
      <c r="O114" s="56" t="s">
        <v>390</v>
      </c>
      <c r="P114" s="55">
        <v>4</v>
      </c>
      <c r="Q114" s="57" t="s">
        <v>279</v>
      </c>
    </row>
    <row r="115" spans="3:17" x14ac:dyDescent="0.25">
      <c r="C115" s="11"/>
      <c r="D115" s="32"/>
      <c r="I115" s="46" t="s">
        <v>611</v>
      </c>
      <c r="J115" s="47">
        <v>2</v>
      </c>
      <c r="K115" s="48"/>
      <c r="L115" s="11"/>
      <c r="O115" s="54" t="s">
        <v>391</v>
      </c>
      <c r="P115" s="55">
        <v>1</v>
      </c>
      <c r="Q115" s="49"/>
    </row>
    <row r="116" spans="3:17" x14ac:dyDescent="0.25">
      <c r="C116" s="11"/>
      <c r="D116" s="32"/>
      <c r="I116" s="46" t="s">
        <v>612</v>
      </c>
      <c r="J116" s="47">
        <v>1</v>
      </c>
      <c r="K116" s="48"/>
      <c r="L116" s="11"/>
      <c r="O116" s="16" t="s">
        <v>480</v>
      </c>
      <c r="P116" s="55">
        <v>3</v>
      </c>
      <c r="Q116" s="48"/>
    </row>
    <row r="117" spans="3:17" x14ac:dyDescent="0.25">
      <c r="C117" s="11"/>
      <c r="D117" s="32"/>
      <c r="I117" s="46" t="s">
        <v>613</v>
      </c>
      <c r="J117" s="47">
        <v>1</v>
      </c>
      <c r="K117" s="48"/>
      <c r="L117" s="11"/>
      <c r="O117" s="54" t="s">
        <v>1345</v>
      </c>
      <c r="P117" s="55">
        <v>3</v>
      </c>
      <c r="Q117" s="48" t="s">
        <v>297</v>
      </c>
    </row>
    <row r="118" spans="3:17" x14ac:dyDescent="0.25">
      <c r="C118" s="11"/>
      <c r="D118" s="32"/>
      <c r="I118" s="46" t="s">
        <v>614</v>
      </c>
      <c r="J118" s="47">
        <v>1</v>
      </c>
      <c r="K118" s="48"/>
      <c r="L118" s="11"/>
      <c r="O118" s="54" t="s">
        <v>1346</v>
      </c>
      <c r="P118" s="55">
        <v>1</v>
      </c>
      <c r="Q118" s="49"/>
    </row>
    <row r="119" spans="3:17" x14ac:dyDescent="0.25">
      <c r="C119" s="11"/>
      <c r="D119" s="32"/>
      <c r="I119" s="46" t="s">
        <v>615</v>
      </c>
      <c r="J119" s="47">
        <v>1</v>
      </c>
      <c r="K119" s="48"/>
      <c r="L119" s="11"/>
      <c r="O119" s="14" t="s">
        <v>481</v>
      </c>
      <c r="P119" s="55">
        <v>3</v>
      </c>
      <c r="Q119" s="48" t="s">
        <v>297</v>
      </c>
    </row>
    <row r="120" spans="3:17" x14ac:dyDescent="0.25">
      <c r="C120" s="11"/>
      <c r="D120" s="32"/>
      <c r="I120" s="46" t="s">
        <v>318</v>
      </c>
      <c r="J120" s="47">
        <v>3</v>
      </c>
      <c r="K120" s="48"/>
      <c r="L120" s="11"/>
      <c r="O120" s="14" t="s">
        <v>482</v>
      </c>
      <c r="P120" s="55">
        <v>3</v>
      </c>
      <c r="Q120" s="48" t="s">
        <v>297</v>
      </c>
    </row>
    <row r="121" spans="3:17" x14ac:dyDescent="0.25">
      <c r="C121" s="11"/>
      <c r="D121" s="32"/>
      <c r="I121" s="46" t="s">
        <v>616</v>
      </c>
      <c r="J121" s="47">
        <v>3</v>
      </c>
      <c r="K121" s="48"/>
      <c r="L121" s="11"/>
      <c r="O121" s="16" t="s">
        <v>483</v>
      </c>
      <c r="P121" s="47">
        <v>3</v>
      </c>
      <c r="Q121" s="49"/>
    </row>
    <row r="122" spans="3:17" x14ac:dyDescent="0.25">
      <c r="C122" s="11"/>
      <c r="D122" s="32"/>
      <c r="I122" s="46" t="s">
        <v>319</v>
      </c>
      <c r="J122" s="47">
        <v>3</v>
      </c>
      <c r="K122" s="48"/>
      <c r="L122" s="11"/>
      <c r="O122" s="14" t="s">
        <v>484</v>
      </c>
      <c r="P122" s="55">
        <v>1</v>
      </c>
      <c r="Q122" s="49"/>
    </row>
    <row r="123" spans="3:17" x14ac:dyDescent="0.25">
      <c r="C123" s="11"/>
      <c r="D123" s="32"/>
      <c r="I123" s="46" t="s">
        <v>617</v>
      </c>
      <c r="J123" s="47">
        <v>1</v>
      </c>
      <c r="K123" s="48"/>
      <c r="L123" s="11"/>
      <c r="O123" s="14" t="s">
        <v>1214</v>
      </c>
      <c r="P123" s="55">
        <v>3</v>
      </c>
      <c r="Q123" s="48" t="s">
        <v>297</v>
      </c>
    </row>
    <row r="124" spans="3:17" x14ac:dyDescent="0.25">
      <c r="C124" s="11"/>
      <c r="D124" s="32"/>
      <c r="I124" s="46" t="s">
        <v>320</v>
      </c>
      <c r="J124" s="47">
        <v>3</v>
      </c>
      <c r="K124" s="48"/>
      <c r="L124" s="11"/>
      <c r="O124" s="14" t="s">
        <v>485</v>
      </c>
      <c r="P124" s="55">
        <v>2</v>
      </c>
      <c r="Q124" s="49"/>
    </row>
    <row r="125" spans="3:17" x14ac:dyDescent="0.25">
      <c r="C125" s="11"/>
      <c r="D125" s="32"/>
      <c r="I125" s="46" t="s">
        <v>321</v>
      </c>
      <c r="J125" s="47">
        <v>3</v>
      </c>
      <c r="K125" s="48"/>
      <c r="L125" s="11"/>
      <c r="O125" s="16" t="s">
        <v>486</v>
      </c>
      <c r="P125" s="47">
        <v>1</v>
      </c>
      <c r="Q125" s="49"/>
    </row>
    <row r="126" spans="3:17" x14ac:dyDescent="0.25">
      <c r="C126" s="11"/>
      <c r="D126" s="32"/>
      <c r="I126" s="46" t="s">
        <v>322</v>
      </c>
      <c r="J126" s="47">
        <v>3</v>
      </c>
      <c r="K126" s="48"/>
      <c r="L126" s="11"/>
      <c r="O126" s="16" t="s">
        <v>487</v>
      </c>
      <c r="P126" s="47">
        <v>1</v>
      </c>
      <c r="Q126" s="57"/>
    </row>
    <row r="127" spans="3:17" x14ac:dyDescent="0.25">
      <c r="C127" s="11"/>
      <c r="D127" s="32"/>
      <c r="I127" s="46" t="s">
        <v>618</v>
      </c>
      <c r="J127" s="47">
        <v>1</v>
      </c>
      <c r="K127" s="48"/>
      <c r="L127" s="11"/>
      <c r="O127" s="56" t="s">
        <v>1199</v>
      </c>
      <c r="P127" s="55">
        <v>4</v>
      </c>
      <c r="Q127" s="57" t="s">
        <v>279</v>
      </c>
    </row>
    <row r="128" spans="3:17" x14ac:dyDescent="0.25">
      <c r="C128" s="11"/>
      <c r="D128" s="32"/>
      <c r="I128" s="46" t="s">
        <v>619</v>
      </c>
      <c r="J128" s="47">
        <v>1</v>
      </c>
      <c r="K128" s="48"/>
      <c r="L128" s="11"/>
      <c r="O128" s="56" t="s">
        <v>392</v>
      </c>
      <c r="P128" s="55">
        <v>4</v>
      </c>
      <c r="Q128" s="57" t="s">
        <v>279</v>
      </c>
    </row>
    <row r="129" spans="3:17" x14ac:dyDescent="0.25">
      <c r="C129" s="11"/>
      <c r="D129" s="32"/>
      <c r="I129" s="46" t="s">
        <v>620</v>
      </c>
      <c r="J129" s="47">
        <v>1</v>
      </c>
      <c r="K129" s="48"/>
      <c r="L129" s="11"/>
      <c r="O129" s="56" t="s">
        <v>488</v>
      </c>
      <c r="P129" s="55">
        <v>1</v>
      </c>
      <c r="Q129" s="49"/>
    </row>
    <row r="130" spans="3:17" x14ac:dyDescent="0.25">
      <c r="C130" s="11"/>
      <c r="D130" s="32"/>
      <c r="I130" s="46" t="s">
        <v>323</v>
      </c>
      <c r="J130" s="47">
        <v>2</v>
      </c>
      <c r="K130" s="48"/>
      <c r="L130" s="11"/>
      <c r="O130" s="56" t="s">
        <v>393</v>
      </c>
      <c r="P130" s="55">
        <v>1</v>
      </c>
      <c r="Q130" s="57"/>
    </row>
    <row r="131" spans="3:17" x14ac:dyDescent="0.25">
      <c r="C131" s="11"/>
      <c r="D131" s="32"/>
      <c r="I131" s="46" t="s">
        <v>621</v>
      </c>
      <c r="J131" s="47">
        <v>1</v>
      </c>
      <c r="K131" s="48"/>
      <c r="L131" s="11"/>
      <c r="O131" s="16" t="s">
        <v>489</v>
      </c>
      <c r="P131" s="55">
        <v>4</v>
      </c>
      <c r="Q131" s="57" t="s">
        <v>279</v>
      </c>
    </row>
    <row r="132" spans="3:17" x14ac:dyDescent="0.25">
      <c r="C132" s="11"/>
      <c r="D132" s="32"/>
      <c r="I132" s="46" t="s">
        <v>622</v>
      </c>
      <c r="J132" s="47">
        <v>1</v>
      </c>
      <c r="K132" s="48"/>
      <c r="L132" s="11"/>
      <c r="O132" s="56" t="s">
        <v>394</v>
      </c>
      <c r="P132" s="55">
        <v>3</v>
      </c>
      <c r="Q132" s="48" t="s">
        <v>297</v>
      </c>
    </row>
    <row r="133" spans="3:17" x14ac:dyDescent="0.25">
      <c r="C133" s="11"/>
      <c r="D133" s="32"/>
      <c r="I133" s="46" t="s">
        <v>623</v>
      </c>
      <c r="J133" s="47">
        <v>3</v>
      </c>
      <c r="K133" s="48"/>
      <c r="L133" s="11"/>
      <c r="O133" s="54" t="s">
        <v>395</v>
      </c>
      <c r="P133" s="55">
        <v>3</v>
      </c>
      <c r="Q133" s="48" t="s">
        <v>297</v>
      </c>
    </row>
    <row r="134" spans="3:17" x14ac:dyDescent="0.25">
      <c r="C134" s="11"/>
      <c r="D134" s="32"/>
      <c r="I134" s="46" t="s">
        <v>624</v>
      </c>
      <c r="J134" s="47">
        <v>2</v>
      </c>
      <c r="K134" s="48"/>
      <c r="L134" s="11"/>
      <c r="O134" s="56" t="s">
        <v>396</v>
      </c>
      <c r="P134" s="55">
        <v>4</v>
      </c>
      <c r="Q134" s="57" t="s">
        <v>279</v>
      </c>
    </row>
    <row r="135" spans="3:17" x14ac:dyDescent="0.25">
      <c r="C135" s="11"/>
      <c r="D135" s="32"/>
      <c r="I135" s="46" t="s">
        <v>625</v>
      </c>
      <c r="J135" s="47">
        <v>1</v>
      </c>
      <c r="K135" s="48"/>
      <c r="L135" s="11"/>
      <c r="O135" s="16" t="s">
        <v>1200</v>
      </c>
      <c r="P135" s="55">
        <v>1</v>
      </c>
      <c r="Q135" s="49"/>
    </row>
    <row r="136" spans="3:17" x14ac:dyDescent="0.25">
      <c r="C136" s="11"/>
      <c r="D136" s="32"/>
      <c r="I136" s="46" t="s">
        <v>626</v>
      </c>
      <c r="J136" s="47">
        <v>2</v>
      </c>
      <c r="K136" s="48"/>
      <c r="L136" s="11"/>
      <c r="O136" s="16" t="s">
        <v>490</v>
      </c>
      <c r="P136" s="55">
        <v>1</v>
      </c>
      <c r="Q136" s="49"/>
    </row>
    <row r="137" spans="3:17" x14ac:dyDescent="0.25">
      <c r="C137" s="11"/>
      <c r="D137" s="32"/>
      <c r="I137" s="46" t="s">
        <v>627</v>
      </c>
      <c r="J137" s="47">
        <v>1</v>
      </c>
      <c r="K137" s="48"/>
      <c r="L137" s="11"/>
      <c r="O137" s="16" t="s">
        <v>491</v>
      </c>
      <c r="P137" s="55">
        <v>1</v>
      </c>
      <c r="Q137" s="49"/>
    </row>
    <row r="138" spans="3:17" x14ac:dyDescent="0.25">
      <c r="C138" s="11"/>
      <c r="D138" s="32"/>
      <c r="I138" s="71" t="s">
        <v>628</v>
      </c>
      <c r="J138" s="47">
        <v>1</v>
      </c>
      <c r="K138" s="48"/>
      <c r="L138" s="11"/>
      <c r="O138" s="16" t="s">
        <v>492</v>
      </c>
      <c r="P138" s="55">
        <v>1</v>
      </c>
      <c r="Q138" s="49"/>
    </row>
    <row r="139" spans="3:17" x14ac:dyDescent="0.25">
      <c r="C139" s="11"/>
      <c r="D139" s="32"/>
      <c r="I139" s="46" t="s">
        <v>629</v>
      </c>
      <c r="J139" s="47">
        <v>1</v>
      </c>
      <c r="K139" s="48"/>
      <c r="L139" s="11"/>
      <c r="O139" s="16" t="s">
        <v>493</v>
      </c>
      <c r="P139" s="55">
        <v>1</v>
      </c>
      <c r="Q139" s="49"/>
    </row>
    <row r="140" spans="3:17" x14ac:dyDescent="0.25">
      <c r="C140" s="11"/>
      <c r="D140" s="32"/>
      <c r="I140" s="46" t="s">
        <v>630</v>
      </c>
      <c r="J140" s="47">
        <v>1</v>
      </c>
      <c r="K140" s="48"/>
      <c r="L140" s="11"/>
      <c r="O140" s="16" t="s">
        <v>494</v>
      </c>
      <c r="P140" s="55">
        <v>1</v>
      </c>
      <c r="Q140" s="49"/>
    </row>
    <row r="141" spans="3:17" x14ac:dyDescent="0.25">
      <c r="C141" s="11"/>
      <c r="D141" s="32"/>
      <c r="I141" s="46" t="s">
        <v>631</v>
      </c>
      <c r="J141" s="47">
        <v>3</v>
      </c>
      <c r="K141" s="48"/>
      <c r="L141" s="11"/>
      <c r="O141" s="56" t="s">
        <v>495</v>
      </c>
      <c r="P141" s="55">
        <v>2</v>
      </c>
      <c r="Q141" s="49"/>
    </row>
    <row r="142" spans="3:17" x14ac:dyDescent="0.25">
      <c r="C142" s="11"/>
      <c r="D142" s="32"/>
      <c r="I142" s="46" t="s">
        <v>632</v>
      </c>
      <c r="J142" s="47">
        <v>3</v>
      </c>
      <c r="K142" s="48"/>
      <c r="L142" s="11"/>
      <c r="O142" s="16" t="s">
        <v>496</v>
      </c>
      <c r="P142" s="47">
        <v>1</v>
      </c>
      <c r="Q142" s="48"/>
    </row>
    <row r="143" spans="3:17" x14ac:dyDescent="0.25">
      <c r="C143" s="11"/>
      <c r="D143" s="32"/>
      <c r="I143" s="46" t="s">
        <v>633</v>
      </c>
      <c r="J143" s="47">
        <v>1</v>
      </c>
      <c r="K143" s="48"/>
      <c r="L143" s="11"/>
      <c r="O143" s="16" t="s">
        <v>497</v>
      </c>
      <c r="P143" s="47">
        <v>1</v>
      </c>
      <c r="Q143" s="49"/>
    </row>
    <row r="144" spans="3:17" x14ac:dyDescent="0.25">
      <c r="C144" s="11"/>
      <c r="D144" s="32"/>
      <c r="I144" s="46" t="s">
        <v>634</v>
      </c>
      <c r="J144" s="47">
        <v>3</v>
      </c>
      <c r="K144" s="48"/>
      <c r="L144" s="11"/>
      <c r="O144" s="16" t="s">
        <v>498</v>
      </c>
      <c r="P144" s="47">
        <v>1</v>
      </c>
      <c r="Q144" s="49"/>
    </row>
    <row r="145" spans="3:17" x14ac:dyDescent="0.25">
      <c r="C145" s="11"/>
      <c r="D145" s="32"/>
      <c r="I145" s="46" t="s">
        <v>635</v>
      </c>
      <c r="J145" s="47">
        <v>1</v>
      </c>
      <c r="K145" s="48"/>
      <c r="L145" s="11"/>
      <c r="O145" s="16" t="s">
        <v>499</v>
      </c>
      <c r="P145" s="47">
        <v>1</v>
      </c>
      <c r="Q145" s="49"/>
    </row>
    <row r="146" spans="3:17" x14ac:dyDescent="0.25">
      <c r="C146" s="11"/>
      <c r="D146" s="32"/>
      <c r="I146" s="46" t="s">
        <v>636</v>
      </c>
      <c r="J146" s="47">
        <v>3</v>
      </c>
      <c r="K146" s="48" t="s">
        <v>3</v>
      </c>
      <c r="L146" s="11"/>
      <c r="O146" s="16" t="s">
        <v>500</v>
      </c>
      <c r="P146" s="47">
        <v>1</v>
      </c>
      <c r="Q146" s="49"/>
    </row>
    <row r="147" spans="3:17" x14ac:dyDescent="0.25">
      <c r="C147" s="11"/>
      <c r="D147" s="32"/>
      <c r="I147" s="46" t="s">
        <v>637</v>
      </c>
      <c r="J147" s="47">
        <v>1</v>
      </c>
      <c r="K147" s="48"/>
      <c r="L147" s="11"/>
      <c r="O147" s="16" t="s">
        <v>501</v>
      </c>
      <c r="P147" s="47">
        <v>1</v>
      </c>
      <c r="Q147" s="49"/>
    </row>
    <row r="148" spans="3:17" x14ac:dyDescent="0.25">
      <c r="C148" s="11"/>
      <c r="D148" s="32"/>
      <c r="I148" s="46" t="s">
        <v>638</v>
      </c>
      <c r="J148" s="47">
        <v>2</v>
      </c>
      <c r="K148" s="48"/>
      <c r="L148" s="11"/>
      <c r="O148" s="16" t="s">
        <v>502</v>
      </c>
      <c r="P148" s="47">
        <v>1</v>
      </c>
      <c r="Q148" s="49"/>
    </row>
    <row r="149" spans="3:17" x14ac:dyDescent="0.25">
      <c r="C149" s="11"/>
      <c r="D149" s="32"/>
      <c r="I149" s="46" t="s">
        <v>639</v>
      </c>
      <c r="J149" s="47">
        <v>2</v>
      </c>
      <c r="K149" s="48"/>
      <c r="L149" s="11"/>
      <c r="O149" s="16" t="s">
        <v>503</v>
      </c>
      <c r="P149" s="47">
        <v>1</v>
      </c>
      <c r="Q149" s="49"/>
    </row>
    <row r="150" spans="3:17" x14ac:dyDescent="0.25">
      <c r="C150" s="11"/>
      <c r="D150" s="32"/>
      <c r="I150" s="46" t="s">
        <v>640</v>
      </c>
      <c r="J150" s="47">
        <v>1</v>
      </c>
      <c r="K150" s="48"/>
      <c r="L150" s="11"/>
      <c r="O150" s="14" t="s">
        <v>504</v>
      </c>
      <c r="P150" s="47">
        <v>2</v>
      </c>
      <c r="Q150" s="48"/>
    </row>
    <row r="151" spans="3:17" x14ac:dyDescent="0.25">
      <c r="C151" s="11"/>
      <c r="D151" s="32"/>
      <c r="I151" s="46" t="s">
        <v>641</v>
      </c>
      <c r="J151" s="47">
        <v>1</v>
      </c>
      <c r="K151" s="48"/>
      <c r="L151" s="11"/>
      <c r="O151" s="54" t="s">
        <v>397</v>
      </c>
      <c r="P151" s="55">
        <v>1</v>
      </c>
      <c r="Q151" s="48"/>
    </row>
    <row r="152" spans="3:17" x14ac:dyDescent="0.25">
      <c r="C152" s="11"/>
      <c r="D152" s="32"/>
      <c r="I152" s="46" t="s">
        <v>642</v>
      </c>
      <c r="J152" s="47">
        <v>1</v>
      </c>
      <c r="K152" s="48"/>
      <c r="L152" s="11"/>
      <c r="O152" s="16" t="s">
        <v>505</v>
      </c>
      <c r="P152" s="47">
        <v>3</v>
      </c>
      <c r="Q152" s="57"/>
    </row>
    <row r="153" spans="3:17" x14ac:dyDescent="0.25">
      <c r="C153" s="11"/>
      <c r="D153" s="32"/>
      <c r="I153" s="46" t="s">
        <v>643</v>
      </c>
      <c r="J153" s="47">
        <v>1</v>
      </c>
      <c r="K153" s="48"/>
      <c r="L153" s="11"/>
      <c r="O153" s="54" t="s">
        <v>438</v>
      </c>
      <c r="P153" s="55">
        <v>1</v>
      </c>
      <c r="Q153" s="48"/>
    </row>
    <row r="154" spans="3:17" x14ac:dyDescent="0.25">
      <c r="C154" s="11"/>
      <c r="D154" s="32"/>
      <c r="I154" s="46" t="s">
        <v>644</v>
      </c>
      <c r="J154" s="47">
        <v>1</v>
      </c>
      <c r="K154" s="48"/>
      <c r="L154" s="11"/>
      <c r="O154" s="260" t="s">
        <v>1433</v>
      </c>
      <c r="P154" s="55">
        <v>2</v>
      </c>
      <c r="Q154" s="48"/>
    </row>
    <row r="155" spans="3:17" x14ac:dyDescent="0.25">
      <c r="C155" s="11"/>
      <c r="D155" s="32"/>
      <c r="I155" s="46" t="s">
        <v>645</v>
      </c>
      <c r="J155" s="47">
        <v>1</v>
      </c>
      <c r="K155" s="48"/>
      <c r="L155" s="11"/>
      <c r="O155" s="54" t="s">
        <v>398</v>
      </c>
      <c r="P155" s="55">
        <v>1</v>
      </c>
      <c r="Q155" s="49"/>
    </row>
    <row r="156" spans="3:17" x14ac:dyDescent="0.25">
      <c r="C156" s="11"/>
      <c r="D156" s="32"/>
      <c r="I156" s="46" t="s">
        <v>646</v>
      </c>
      <c r="J156" s="47">
        <v>1</v>
      </c>
      <c r="K156" s="48"/>
      <c r="L156" s="11"/>
      <c r="O156" s="14" t="s">
        <v>506</v>
      </c>
      <c r="P156" s="55">
        <v>1</v>
      </c>
      <c r="Q156" s="57"/>
    </row>
    <row r="157" spans="3:17" x14ac:dyDescent="0.25">
      <c r="C157" s="11"/>
      <c r="D157" s="32"/>
      <c r="I157" s="46" t="s">
        <v>647</v>
      </c>
      <c r="J157" s="47">
        <v>1</v>
      </c>
      <c r="K157" s="48"/>
      <c r="L157" s="11"/>
      <c r="O157" s="16" t="s">
        <v>507</v>
      </c>
      <c r="P157" s="47">
        <v>3</v>
      </c>
      <c r="Q157" s="49"/>
    </row>
    <row r="158" spans="3:17" x14ac:dyDescent="0.25">
      <c r="C158" s="11"/>
      <c r="D158" s="32"/>
      <c r="I158" s="46" t="s">
        <v>648</v>
      </c>
      <c r="J158" s="47">
        <v>1</v>
      </c>
      <c r="K158" s="48"/>
      <c r="L158" s="11"/>
      <c r="O158" s="54" t="s">
        <v>399</v>
      </c>
      <c r="P158" s="55">
        <v>3</v>
      </c>
      <c r="Q158" s="48" t="s">
        <v>297</v>
      </c>
    </row>
    <row r="159" spans="3:17" x14ac:dyDescent="0.25">
      <c r="C159" s="11"/>
      <c r="D159" s="32"/>
      <c r="I159" s="46" t="s">
        <v>649</v>
      </c>
      <c r="J159" s="47">
        <v>1</v>
      </c>
      <c r="K159" s="48"/>
      <c r="L159" s="11"/>
      <c r="O159" s="54" t="s">
        <v>1201</v>
      </c>
      <c r="P159" s="55">
        <v>1</v>
      </c>
      <c r="Q159" s="49"/>
    </row>
    <row r="160" spans="3:17" x14ac:dyDescent="0.25">
      <c r="C160" s="11"/>
      <c r="D160" s="32"/>
      <c r="I160" s="46" t="s">
        <v>91</v>
      </c>
      <c r="J160" s="47">
        <v>3</v>
      </c>
      <c r="K160" s="48" t="s">
        <v>3</v>
      </c>
      <c r="L160" s="11"/>
      <c r="O160" s="16" t="s">
        <v>1218</v>
      </c>
      <c r="P160" s="55">
        <v>3</v>
      </c>
      <c r="Q160" s="48" t="s">
        <v>297</v>
      </c>
    </row>
    <row r="161" spans="3:17" x14ac:dyDescent="0.25">
      <c r="C161" s="11"/>
      <c r="D161" s="32"/>
      <c r="I161" s="46" t="s">
        <v>650</v>
      </c>
      <c r="J161" s="47">
        <v>1</v>
      </c>
      <c r="K161" s="48"/>
      <c r="L161" s="11"/>
      <c r="O161" s="16" t="s">
        <v>508</v>
      </c>
      <c r="P161" s="47">
        <v>1</v>
      </c>
      <c r="Q161" s="49"/>
    </row>
    <row r="162" spans="3:17" x14ac:dyDescent="0.25">
      <c r="C162" s="11"/>
      <c r="D162" s="32"/>
      <c r="I162" s="46" t="s">
        <v>324</v>
      </c>
      <c r="J162" s="47">
        <v>3</v>
      </c>
      <c r="K162" s="48"/>
      <c r="L162" s="11"/>
      <c r="O162" s="14" t="s">
        <v>509</v>
      </c>
      <c r="P162" s="55">
        <v>2</v>
      </c>
      <c r="Q162" s="49"/>
    </row>
    <row r="163" spans="3:17" x14ac:dyDescent="0.25">
      <c r="C163" s="11"/>
      <c r="D163" s="32"/>
      <c r="I163" s="46" t="s">
        <v>92</v>
      </c>
      <c r="J163" s="47">
        <v>1</v>
      </c>
      <c r="K163" s="48"/>
      <c r="L163" s="11"/>
      <c r="O163" s="72" t="s">
        <v>1202</v>
      </c>
      <c r="P163" s="55">
        <v>2</v>
      </c>
      <c r="Q163" s="49"/>
    </row>
    <row r="164" spans="3:17" x14ac:dyDescent="0.25">
      <c r="C164" s="11"/>
      <c r="D164" s="32"/>
      <c r="I164" s="46" t="s">
        <v>651</v>
      </c>
      <c r="J164" s="47">
        <v>1</v>
      </c>
      <c r="K164" s="48"/>
      <c r="L164" s="11"/>
      <c r="O164" s="56" t="s">
        <v>510</v>
      </c>
      <c r="P164" s="55">
        <v>3</v>
      </c>
      <c r="Q164" s="48"/>
    </row>
    <row r="165" spans="3:17" x14ac:dyDescent="0.25">
      <c r="C165" s="11"/>
      <c r="D165" s="32"/>
      <c r="I165" s="46" t="s">
        <v>652</v>
      </c>
      <c r="J165" s="47">
        <v>1</v>
      </c>
      <c r="K165" s="48"/>
      <c r="L165" s="11"/>
      <c r="O165" s="56" t="s">
        <v>400</v>
      </c>
      <c r="P165" s="55">
        <v>2</v>
      </c>
      <c r="Q165" s="49"/>
    </row>
    <row r="166" spans="3:17" x14ac:dyDescent="0.25">
      <c r="C166" s="11"/>
      <c r="D166" s="32"/>
      <c r="I166" s="46" t="s">
        <v>653</v>
      </c>
      <c r="J166" s="47">
        <v>1</v>
      </c>
      <c r="K166" s="48"/>
      <c r="L166" s="11"/>
      <c r="O166" s="54" t="s">
        <v>401</v>
      </c>
      <c r="P166" s="55">
        <v>2</v>
      </c>
      <c r="Q166" s="49"/>
    </row>
    <row r="167" spans="3:17" x14ac:dyDescent="0.25">
      <c r="C167" s="11"/>
      <c r="D167" s="32"/>
      <c r="I167" s="46" t="s">
        <v>325</v>
      </c>
      <c r="J167" s="47">
        <v>1</v>
      </c>
      <c r="K167" s="48"/>
      <c r="L167" s="11"/>
      <c r="O167" s="54" t="s">
        <v>402</v>
      </c>
      <c r="P167" s="55">
        <v>3</v>
      </c>
      <c r="Q167" s="48" t="s">
        <v>297</v>
      </c>
    </row>
    <row r="168" spans="3:17" x14ac:dyDescent="0.25">
      <c r="C168" s="11"/>
      <c r="D168" s="32"/>
      <c r="I168" s="46" t="s">
        <v>654</v>
      </c>
      <c r="J168" s="47">
        <v>1</v>
      </c>
      <c r="K168" s="48"/>
      <c r="L168" s="11"/>
      <c r="O168" s="56" t="s">
        <v>403</v>
      </c>
      <c r="P168" s="55">
        <v>3</v>
      </c>
      <c r="Q168" s="48" t="s">
        <v>297</v>
      </c>
    </row>
    <row r="169" spans="3:17" x14ac:dyDescent="0.25">
      <c r="C169" s="11"/>
      <c r="D169" s="32"/>
      <c r="I169" s="46" t="s">
        <v>655</v>
      </c>
      <c r="J169" s="47">
        <v>1</v>
      </c>
      <c r="K169" s="48"/>
      <c r="L169" s="11"/>
      <c r="O169" s="56" t="s">
        <v>404</v>
      </c>
      <c r="P169" s="55">
        <v>4</v>
      </c>
      <c r="Q169" s="57" t="s">
        <v>279</v>
      </c>
    </row>
    <row r="170" spans="3:17" x14ac:dyDescent="0.25">
      <c r="C170" s="11"/>
      <c r="D170" s="32"/>
      <c r="I170" s="46" t="s">
        <v>656</v>
      </c>
      <c r="J170" s="47">
        <v>1</v>
      </c>
      <c r="K170" s="48"/>
      <c r="L170" s="11"/>
      <c r="O170" s="56" t="s">
        <v>405</v>
      </c>
      <c r="P170" s="55">
        <v>3</v>
      </c>
      <c r="Q170" s="48" t="s">
        <v>297</v>
      </c>
    </row>
    <row r="171" spans="3:17" x14ac:dyDescent="0.25">
      <c r="C171" s="11"/>
      <c r="D171" s="32"/>
      <c r="I171" s="46" t="s">
        <v>657</v>
      </c>
      <c r="J171" s="47">
        <v>2</v>
      </c>
      <c r="K171" s="48"/>
      <c r="L171" s="11"/>
      <c r="O171" s="54" t="s">
        <v>406</v>
      </c>
      <c r="P171" s="55">
        <v>1</v>
      </c>
      <c r="Q171" s="57"/>
    </row>
    <row r="172" spans="3:17" x14ac:dyDescent="0.25">
      <c r="C172" s="11"/>
      <c r="D172" s="32"/>
      <c r="I172" s="46" t="s">
        <v>658</v>
      </c>
      <c r="J172" s="47">
        <v>2</v>
      </c>
      <c r="K172" s="48"/>
      <c r="L172" s="11"/>
      <c r="O172" s="56" t="s">
        <v>407</v>
      </c>
      <c r="P172" s="55">
        <v>4</v>
      </c>
      <c r="Q172" s="57" t="s">
        <v>279</v>
      </c>
    </row>
    <row r="173" spans="3:17" x14ac:dyDescent="0.25">
      <c r="C173" s="11"/>
      <c r="D173" s="32"/>
      <c r="I173" s="46" t="s">
        <v>659</v>
      </c>
      <c r="J173" s="47">
        <v>1</v>
      </c>
      <c r="K173" s="48"/>
      <c r="L173" s="11"/>
      <c r="O173" s="14" t="s">
        <v>511</v>
      </c>
      <c r="P173" s="55">
        <v>1</v>
      </c>
      <c r="Q173" s="49"/>
    </row>
    <row r="174" spans="3:17" x14ac:dyDescent="0.25">
      <c r="C174" s="11"/>
      <c r="D174" s="32"/>
      <c r="I174" s="46" t="s">
        <v>660</v>
      </c>
      <c r="J174" s="47">
        <v>1</v>
      </c>
      <c r="K174" s="48"/>
      <c r="L174" s="11"/>
      <c r="O174" s="54" t="s">
        <v>512</v>
      </c>
      <c r="P174" s="55">
        <v>2</v>
      </c>
      <c r="Q174" s="49"/>
    </row>
    <row r="175" spans="3:17" x14ac:dyDescent="0.25">
      <c r="C175" s="11"/>
      <c r="D175" s="32"/>
      <c r="I175" s="46" t="s">
        <v>661</v>
      </c>
      <c r="J175" s="47">
        <v>3</v>
      </c>
      <c r="K175" s="48"/>
      <c r="L175" s="11"/>
      <c r="O175" s="54" t="s">
        <v>408</v>
      </c>
      <c r="P175" s="55">
        <v>1</v>
      </c>
      <c r="Q175" s="49"/>
    </row>
    <row r="176" spans="3:17" x14ac:dyDescent="0.25">
      <c r="C176" s="11"/>
      <c r="D176" s="32"/>
      <c r="I176" s="46" t="s">
        <v>662</v>
      </c>
      <c r="J176" s="47">
        <v>1</v>
      </c>
      <c r="K176" s="48"/>
      <c r="L176" s="11"/>
      <c r="O176" s="16" t="s">
        <v>513</v>
      </c>
      <c r="P176" s="47">
        <v>1</v>
      </c>
      <c r="Q176" s="49"/>
    </row>
    <row r="177" spans="3:17" x14ac:dyDescent="0.25">
      <c r="C177" s="11"/>
      <c r="D177" s="32"/>
      <c r="I177" s="46" t="s">
        <v>663</v>
      </c>
      <c r="J177" s="47">
        <v>1</v>
      </c>
      <c r="K177" s="48"/>
      <c r="L177" s="11"/>
      <c r="O177" s="16" t="s">
        <v>514</v>
      </c>
      <c r="P177" s="47">
        <v>3</v>
      </c>
      <c r="Q177" s="49"/>
    </row>
    <row r="178" spans="3:17" x14ac:dyDescent="0.25">
      <c r="C178" s="11"/>
      <c r="D178" s="32"/>
      <c r="I178" s="46" t="s">
        <v>664</v>
      </c>
      <c r="J178" s="47">
        <v>3</v>
      </c>
      <c r="K178" s="48" t="s">
        <v>3</v>
      </c>
      <c r="L178" s="11"/>
      <c r="O178" s="73" t="s">
        <v>439</v>
      </c>
      <c r="P178" s="55">
        <v>3</v>
      </c>
      <c r="Q178" s="49"/>
    </row>
    <row r="179" spans="3:17" x14ac:dyDescent="0.25">
      <c r="C179" s="11"/>
      <c r="D179" s="32"/>
      <c r="I179" s="46" t="s">
        <v>665</v>
      </c>
      <c r="J179" s="47">
        <v>1</v>
      </c>
      <c r="K179" s="48"/>
      <c r="L179" s="11"/>
      <c r="O179" s="73" t="s">
        <v>515</v>
      </c>
      <c r="P179" s="55">
        <v>3</v>
      </c>
      <c r="Q179" s="49" t="s">
        <v>297</v>
      </c>
    </row>
    <row r="180" spans="3:17" x14ac:dyDescent="0.25">
      <c r="C180" s="11"/>
      <c r="D180" s="32"/>
      <c r="I180" s="46" t="s">
        <v>666</v>
      </c>
      <c r="J180" s="47">
        <v>1</v>
      </c>
      <c r="K180" s="48"/>
      <c r="L180" s="11"/>
      <c r="O180" s="16"/>
      <c r="P180" s="55"/>
      <c r="Q180" s="48"/>
    </row>
    <row r="181" spans="3:17" x14ac:dyDescent="0.25">
      <c r="C181" s="11"/>
      <c r="D181" s="32"/>
      <c r="I181" s="46" t="s">
        <v>667</v>
      </c>
      <c r="J181" s="47">
        <v>1</v>
      </c>
      <c r="K181" s="48"/>
      <c r="L181" s="11"/>
      <c r="O181" s="34"/>
      <c r="P181" s="35"/>
    </row>
    <row r="182" spans="3:17" x14ac:dyDescent="0.25">
      <c r="C182" s="11"/>
      <c r="D182" s="32"/>
      <c r="I182" s="46" t="s">
        <v>668</v>
      </c>
      <c r="J182" s="47">
        <v>1</v>
      </c>
      <c r="K182" s="48"/>
      <c r="L182" s="11"/>
      <c r="O182" s="34"/>
      <c r="P182" s="35"/>
    </row>
    <row r="183" spans="3:17" x14ac:dyDescent="0.25">
      <c r="C183" s="11"/>
      <c r="D183" s="32"/>
      <c r="I183" s="46" t="s">
        <v>669</v>
      </c>
      <c r="J183" s="47">
        <v>1</v>
      </c>
      <c r="K183" s="48"/>
      <c r="L183" s="11"/>
      <c r="O183" s="34"/>
      <c r="P183" s="35"/>
    </row>
    <row r="184" spans="3:17" x14ac:dyDescent="0.25">
      <c r="C184" s="11"/>
      <c r="D184" s="32"/>
      <c r="I184" s="46" t="s">
        <v>670</v>
      </c>
      <c r="J184" s="47">
        <v>1</v>
      </c>
      <c r="K184" s="48"/>
      <c r="L184" s="11"/>
      <c r="O184" s="34"/>
      <c r="P184" s="35"/>
    </row>
    <row r="185" spans="3:17" x14ac:dyDescent="0.25">
      <c r="C185" s="11"/>
      <c r="D185" s="32"/>
      <c r="I185" s="46" t="s">
        <v>326</v>
      </c>
      <c r="J185" s="47">
        <v>3</v>
      </c>
      <c r="K185" s="48"/>
      <c r="L185" s="11"/>
      <c r="O185" s="34"/>
      <c r="P185" s="35"/>
    </row>
    <row r="186" spans="3:17" x14ac:dyDescent="0.25">
      <c r="C186" s="11"/>
      <c r="D186" s="32"/>
      <c r="I186" s="46" t="s">
        <v>671</v>
      </c>
      <c r="J186" s="47">
        <v>3</v>
      </c>
      <c r="K186" s="48"/>
      <c r="L186" s="11"/>
      <c r="O186" s="34"/>
      <c r="P186" s="35"/>
    </row>
    <row r="187" spans="3:17" x14ac:dyDescent="0.25">
      <c r="C187" s="11"/>
      <c r="D187" s="32"/>
      <c r="I187" s="46" t="s">
        <v>672</v>
      </c>
      <c r="J187" s="47">
        <v>2</v>
      </c>
      <c r="K187" s="48"/>
      <c r="L187" s="11"/>
      <c r="O187" s="34"/>
      <c r="P187" s="35"/>
    </row>
    <row r="188" spans="3:17" x14ac:dyDescent="0.25">
      <c r="C188" s="11"/>
      <c r="D188" s="32"/>
      <c r="I188" s="46" t="s">
        <v>673</v>
      </c>
      <c r="J188" s="47">
        <v>1</v>
      </c>
      <c r="K188" s="48"/>
      <c r="L188" s="11"/>
      <c r="O188" s="34"/>
      <c r="P188" s="35"/>
    </row>
    <row r="189" spans="3:17" x14ac:dyDescent="0.25">
      <c r="C189" s="11"/>
      <c r="D189" s="32"/>
      <c r="I189" s="46" t="s">
        <v>674</v>
      </c>
      <c r="J189" s="47">
        <v>3</v>
      </c>
      <c r="K189" s="48"/>
      <c r="L189" s="11"/>
      <c r="O189" s="34"/>
      <c r="P189" s="35"/>
    </row>
    <row r="190" spans="3:17" x14ac:dyDescent="0.25">
      <c r="C190" s="11"/>
      <c r="D190" s="32"/>
      <c r="I190" s="46" t="s">
        <v>675</v>
      </c>
      <c r="J190" s="47">
        <v>2</v>
      </c>
      <c r="K190" s="48"/>
      <c r="L190" s="11"/>
      <c r="O190" s="34"/>
      <c r="P190" s="35"/>
    </row>
    <row r="191" spans="3:17" x14ac:dyDescent="0.25">
      <c r="C191" s="11"/>
      <c r="D191" s="32"/>
      <c r="I191" s="46" t="s">
        <v>676</v>
      </c>
      <c r="J191" s="47">
        <v>3</v>
      </c>
      <c r="K191" s="48"/>
      <c r="L191" s="11"/>
      <c r="O191" s="34"/>
      <c r="P191" s="35"/>
    </row>
    <row r="192" spans="3:17" x14ac:dyDescent="0.25">
      <c r="C192" s="11"/>
      <c r="D192" s="32"/>
      <c r="I192" s="46" t="s">
        <v>677</v>
      </c>
      <c r="J192" s="47">
        <v>1</v>
      </c>
      <c r="K192" s="48"/>
      <c r="L192" s="11"/>
      <c r="O192" s="34"/>
      <c r="P192" s="35"/>
    </row>
    <row r="193" spans="3:16" x14ac:dyDescent="0.25">
      <c r="C193" s="11"/>
      <c r="D193" s="32"/>
      <c r="I193" s="46" t="s">
        <v>678</v>
      </c>
      <c r="J193" s="47">
        <v>1</v>
      </c>
      <c r="K193" s="48"/>
      <c r="L193" s="11"/>
      <c r="O193" s="34"/>
      <c r="P193" s="35"/>
    </row>
    <row r="194" spans="3:16" x14ac:dyDescent="0.25">
      <c r="C194" s="11"/>
      <c r="D194" s="32"/>
      <c r="I194" s="46" t="s">
        <v>679</v>
      </c>
      <c r="J194" s="47">
        <v>1</v>
      </c>
      <c r="K194" s="48"/>
      <c r="L194" s="11"/>
      <c r="O194" s="34"/>
      <c r="P194" s="35"/>
    </row>
    <row r="195" spans="3:16" x14ac:dyDescent="0.25">
      <c r="C195" s="11"/>
      <c r="D195" s="32"/>
      <c r="I195" s="46" t="s">
        <v>680</v>
      </c>
      <c r="J195" s="47">
        <v>1</v>
      </c>
      <c r="K195" s="48"/>
      <c r="L195" s="11"/>
      <c r="O195" s="34"/>
      <c r="P195" s="35"/>
    </row>
    <row r="196" spans="3:16" x14ac:dyDescent="0.25">
      <c r="C196" s="11"/>
      <c r="D196" s="32"/>
      <c r="I196" s="46" t="s">
        <v>681</v>
      </c>
      <c r="J196" s="47">
        <v>1</v>
      </c>
      <c r="K196" s="48"/>
      <c r="L196" s="11"/>
      <c r="O196" s="34"/>
      <c r="P196" s="35"/>
    </row>
    <row r="197" spans="3:16" x14ac:dyDescent="0.25">
      <c r="C197" s="11"/>
      <c r="D197" s="32"/>
      <c r="I197" s="46" t="s">
        <v>682</v>
      </c>
      <c r="J197" s="47">
        <v>1</v>
      </c>
      <c r="K197" s="48"/>
      <c r="L197" s="11"/>
      <c r="O197" s="34"/>
      <c r="P197" s="35"/>
    </row>
    <row r="198" spans="3:16" x14ac:dyDescent="0.25">
      <c r="C198" s="11"/>
      <c r="D198" s="32"/>
      <c r="I198" s="46" t="s">
        <v>683</v>
      </c>
      <c r="J198" s="47">
        <v>1</v>
      </c>
      <c r="K198" s="48"/>
      <c r="L198" s="11"/>
      <c r="O198" s="34"/>
      <c r="P198" s="35"/>
    </row>
    <row r="199" spans="3:16" x14ac:dyDescent="0.25">
      <c r="C199" s="11"/>
      <c r="D199" s="32"/>
      <c r="I199" s="46" t="s">
        <v>684</v>
      </c>
      <c r="J199" s="47">
        <v>1</v>
      </c>
      <c r="K199" s="48"/>
      <c r="L199" s="11"/>
      <c r="O199" s="34"/>
      <c r="P199" s="35"/>
    </row>
    <row r="200" spans="3:16" x14ac:dyDescent="0.25">
      <c r="C200" s="11"/>
      <c r="D200" s="32"/>
      <c r="I200" s="46" t="s">
        <v>1204</v>
      </c>
      <c r="J200" s="47">
        <v>1</v>
      </c>
      <c r="K200" s="48"/>
      <c r="L200" s="11"/>
      <c r="O200" s="34"/>
      <c r="P200" s="35"/>
    </row>
    <row r="201" spans="3:16" x14ac:dyDescent="0.25">
      <c r="C201" s="11"/>
      <c r="D201" s="32"/>
      <c r="I201" s="46" t="s">
        <v>1205</v>
      </c>
      <c r="J201" s="47">
        <v>3</v>
      </c>
      <c r="K201" s="48"/>
      <c r="L201" s="11"/>
      <c r="O201" s="34"/>
      <c r="P201" s="35"/>
    </row>
    <row r="202" spans="3:16" x14ac:dyDescent="0.25">
      <c r="C202" s="11"/>
      <c r="D202" s="32"/>
      <c r="I202" s="46" t="s">
        <v>327</v>
      </c>
      <c r="J202" s="47">
        <v>3</v>
      </c>
      <c r="K202" s="48"/>
      <c r="L202" s="11"/>
      <c r="O202" s="34"/>
      <c r="P202" s="35"/>
    </row>
    <row r="203" spans="3:16" x14ac:dyDescent="0.25">
      <c r="C203" s="11"/>
      <c r="D203" s="32"/>
      <c r="I203" s="46" t="s">
        <v>685</v>
      </c>
      <c r="J203" s="47">
        <v>3</v>
      </c>
      <c r="K203" s="48"/>
      <c r="L203" s="11"/>
      <c r="O203" s="34"/>
      <c r="P203" s="35"/>
    </row>
    <row r="204" spans="3:16" x14ac:dyDescent="0.25">
      <c r="C204" s="11"/>
      <c r="D204" s="32"/>
      <c r="I204" s="46" t="s">
        <v>328</v>
      </c>
      <c r="J204" s="47">
        <v>1</v>
      </c>
      <c r="K204" s="48"/>
      <c r="L204" s="11"/>
      <c r="O204" s="34"/>
      <c r="P204" s="35"/>
    </row>
    <row r="205" spans="3:16" x14ac:dyDescent="0.25">
      <c r="C205" s="11"/>
      <c r="D205" s="32"/>
      <c r="I205" s="46" t="s">
        <v>686</v>
      </c>
      <c r="J205" s="47">
        <v>1</v>
      </c>
      <c r="K205" s="48"/>
      <c r="L205" s="11"/>
      <c r="O205" s="34"/>
      <c r="P205" s="35"/>
    </row>
    <row r="206" spans="3:16" x14ac:dyDescent="0.25">
      <c r="C206" s="11"/>
      <c r="D206" s="32"/>
      <c r="I206" s="46" t="s">
        <v>687</v>
      </c>
      <c r="J206" s="47">
        <v>1</v>
      </c>
      <c r="K206" s="48"/>
      <c r="L206" s="11"/>
      <c r="O206" s="34"/>
      <c r="P206" s="35"/>
    </row>
    <row r="207" spans="3:16" x14ac:dyDescent="0.25">
      <c r="C207" s="11"/>
      <c r="D207" s="32"/>
      <c r="I207" s="46" t="s">
        <v>688</v>
      </c>
      <c r="J207" s="47">
        <v>1</v>
      </c>
      <c r="K207" s="48"/>
      <c r="L207" s="11"/>
      <c r="O207" s="34"/>
      <c r="P207" s="35"/>
    </row>
    <row r="208" spans="3:16" x14ac:dyDescent="0.25">
      <c r="C208" s="11"/>
      <c r="D208" s="32"/>
      <c r="I208" s="46" t="s">
        <v>689</v>
      </c>
      <c r="J208" s="47">
        <v>1</v>
      </c>
      <c r="K208" s="48"/>
      <c r="L208" s="11"/>
      <c r="O208" s="34"/>
      <c r="P208" s="35"/>
    </row>
    <row r="209" spans="3:16" x14ac:dyDescent="0.25">
      <c r="C209" s="11"/>
      <c r="D209" s="32"/>
      <c r="I209" s="46" t="s">
        <v>690</v>
      </c>
      <c r="J209" s="47">
        <v>1</v>
      </c>
      <c r="K209" s="48"/>
      <c r="L209" s="11"/>
      <c r="O209" s="34"/>
      <c r="P209" s="35"/>
    </row>
    <row r="210" spans="3:16" x14ac:dyDescent="0.25">
      <c r="C210" s="11"/>
      <c r="D210" s="32"/>
      <c r="I210" s="46" t="s">
        <v>691</v>
      </c>
      <c r="J210" s="47">
        <v>1</v>
      </c>
      <c r="K210" s="48"/>
      <c r="L210" s="11"/>
      <c r="O210" s="34"/>
      <c r="P210" s="35"/>
    </row>
    <row r="211" spans="3:16" x14ac:dyDescent="0.25">
      <c r="C211" s="11"/>
      <c r="D211" s="32"/>
      <c r="I211" s="46" t="s">
        <v>692</v>
      </c>
      <c r="J211" s="47">
        <v>1</v>
      </c>
      <c r="K211" s="48"/>
      <c r="L211" s="11"/>
      <c r="O211" s="34"/>
      <c r="P211" s="35"/>
    </row>
    <row r="212" spans="3:16" x14ac:dyDescent="0.25">
      <c r="C212" s="11"/>
      <c r="D212" s="32"/>
      <c r="I212" s="46" t="s">
        <v>693</v>
      </c>
      <c r="J212" s="47">
        <v>1</v>
      </c>
      <c r="K212" s="48"/>
      <c r="L212" s="11"/>
      <c r="O212" s="34"/>
      <c r="P212" s="35"/>
    </row>
    <row r="213" spans="3:16" x14ac:dyDescent="0.25">
      <c r="C213" s="11"/>
      <c r="D213" s="32"/>
      <c r="I213" s="46" t="s">
        <v>329</v>
      </c>
      <c r="J213" s="47">
        <v>1</v>
      </c>
      <c r="K213" s="48"/>
      <c r="L213" s="11"/>
      <c r="O213" s="34"/>
      <c r="P213" s="35"/>
    </row>
    <row r="214" spans="3:16" x14ac:dyDescent="0.25">
      <c r="C214" s="11"/>
      <c r="D214" s="32"/>
      <c r="I214" s="46" t="s">
        <v>694</v>
      </c>
      <c r="J214" s="47">
        <v>2</v>
      </c>
      <c r="K214" s="48"/>
      <c r="L214" s="11"/>
      <c r="O214" s="34"/>
      <c r="P214" s="35"/>
    </row>
    <row r="215" spans="3:16" x14ac:dyDescent="0.25">
      <c r="C215" s="11"/>
      <c r="D215" s="32"/>
      <c r="I215" s="46" t="s">
        <v>695</v>
      </c>
      <c r="J215" s="47">
        <v>2</v>
      </c>
      <c r="K215" s="48"/>
      <c r="L215" s="11"/>
      <c r="O215" s="34"/>
      <c r="P215" s="35"/>
    </row>
    <row r="216" spans="3:16" x14ac:dyDescent="0.25">
      <c r="C216" s="11"/>
      <c r="D216" s="32"/>
      <c r="I216" s="46" t="s">
        <v>696</v>
      </c>
      <c r="J216" s="47">
        <v>1</v>
      </c>
      <c r="K216" s="48"/>
      <c r="L216" s="11"/>
      <c r="O216" s="34"/>
      <c r="P216" s="35"/>
    </row>
    <row r="217" spans="3:16" x14ac:dyDescent="0.25">
      <c r="C217" s="11"/>
      <c r="D217" s="32"/>
      <c r="I217" s="46" t="s">
        <v>697</v>
      </c>
      <c r="J217" s="47">
        <v>2</v>
      </c>
      <c r="K217" s="48"/>
      <c r="L217" s="11"/>
      <c r="O217" s="34"/>
      <c r="P217" s="35"/>
    </row>
    <row r="218" spans="3:16" x14ac:dyDescent="0.25">
      <c r="C218" s="11"/>
      <c r="D218" s="32"/>
      <c r="I218" s="46" t="s">
        <v>698</v>
      </c>
      <c r="J218" s="47">
        <v>3</v>
      </c>
      <c r="K218" s="48"/>
      <c r="L218" s="11"/>
      <c r="O218" s="34"/>
      <c r="P218" s="35"/>
    </row>
    <row r="219" spans="3:16" x14ac:dyDescent="0.25">
      <c r="C219" s="11"/>
      <c r="D219" s="32"/>
      <c r="I219" s="46" t="s">
        <v>699</v>
      </c>
      <c r="J219" s="47">
        <v>1</v>
      </c>
      <c r="K219" s="48"/>
      <c r="L219" s="11"/>
      <c r="O219" s="34"/>
      <c r="P219" s="35"/>
    </row>
    <row r="220" spans="3:16" x14ac:dyDescent="0.25">
      <c r="C220" s="11"/>
      <c r="D220" s="32"/>
      <c r="I220" s="46" t="s">
        <v>700</v>
      </c>
      <c r="J220" s="47">
        <v>1</v>
      </c>
      <c r="K220" s="48"/>
      <c r="L220" s="11"/>
      <c r="O220" s="34"/>
      <c r="P220" s="35"/>
    </row>
    <row r="221" spans="3:16" x14ac:dyDescent="0.25">
      <c r="C221" s="11"/>
      <c r="D221" s="32"/>
      <c r="I221" s="46" t="s">
        <v>701</v>
      </c>
      <c r="J221" s="47">
        <v>1</v>
      </c>
      <c r="K221" s="48"/>
      <c r="L221" s="11"/>
      <c r="O221" s="34"/>
      <c r="P221" s="35"/>
    </row>
    <row r="222" spans="3:16" x14ac:dyDescent="0.25">
      <c r="C222" s="11"/>
      <c r="D222" s="32"/>
      <c r="I222" s="46" t="s">
        <v>702</v>
      </c>
      <c r="J222" s="47">
        <v>2</v>
      </c>
      <c r="K222" s="48"/>
      <c r="L222" s="11"/>
      <c r="O222" s="34"/>
      <c r="P222" s="35"/>
    </row>
    <row r="223" spans="3:16" x14ac:dyDescent="0.25">
      <c r="C223" s="11"/>
      <c r="D223" s="32"/>
      <c r="I223" s="46" t="s">
        <v>703</v>
      </c>
      <c r="J223" s="47">
        <v>1</v>
      </c>
      <c r="K223" s="48"/>
      <c r="L223" s="11"/>
      <c r="O223" s="34"/>
      <c r="P223" s="35"/>
    </row>
    <row r="224" spans="3:16" x14ac:dyDescent="0.25">
      <c r="C224" s="11"/>
      <c r="D224" s="32"/>
      <c r="I224" s="46" t="s">
        <v>704</v>
      </c>
      <c r="J224" s="47">
        <v>1</v>
      </c>
      <c r="K224" s="48"/>
      <c r="L224" s="11"/>
      <c r="O224" s="34"/>
      <c r="P224" s="35"/>
    </row>
    <row r="225" spans="3:16" x14ac:dyDescent="0.25">
      <c r="C225" s="11"/>
      <c r="D225" s="32"/>
      <c r="I225" s="46" t="s">
        <v>705</v>
      </c>
      <c r="J225" s="47">
        <v>1</v>
      </c>
      <c r="K225" s="48"/>
      <c r="L225" s="11"/>
      <c r="O225" s="34"/>
      <c r="P225" s="35"/>
    </row>
    <row r="226" spans="3:16" x14ac:dyDescent="0.25">
      <c r="C226" s="11"/>
      <c r="D226" s="32"/>
      <c r="I226" s="46" t="s">
        <v>706</v>
      </c>
      <c r="J226" s="47">
        <v>1</v>
      </c>
      <c r="K226" s="48"/>
      <c r="L226" s="11"/>
      <c r="O226" s="34"/>
      <c r="P226" s="35"/>
    </row>
    <row r="227" spans="3:16" x14ac:dyDescent="0.25">
      <c r="C227" s="11"/>
      <c r="D227" s="32"/>
      <c r="I227" s="46" t="s">
        <v>93</v>
      </c>
      <c r="J227" s="47">
        <v>1</v>
      </c>
      <c r="K227" s="48"/>
      <c r="L227" s="11"/>
      <c r="O227" s="34"/>
      <c r="P227" s="35"/>
    </row>
    <row r="228" spans="3:16" x14ac:dyDescent="0.25">
      <c r="C228" s="11"/>
      <c r="D228" s="32"/>
      <c r="I228" s="46" t="s">
        <v>707</v>
      </c>
      <c r="J228" s="47">
        <v>1</v>
      </c>
      <c r="K228" s="48"/>
      <c r="L228" s="11"/>
      <c r="O228" s="34"/>
      <c r="P228" s="35"/>
    </row>
    <row r="229" spans="3:16" x14ac:dyDescent="0.25">
      <c r="C229" s="11"/>
      <c r="D229" s="32"/>
      <c r="I229" s="46" t="s">
        <v>708</v>
      </c>
      <c r="J229" s="47">
        <v>1</v>
      </c>
      <c r="K229" s="48"/>
      <c r="L229" s="11"/>
      <c r="O229" s="34"/>
      <c r="P229" s="35"/>
    </row>
    <row r="230" spans="3:16" x14ac:dyDescent="0.25">
      <c r="C230" s="11"/>
      <c r="D230" s="32"/>
      <c r="I230" s="46" t="s">
        <v>709</v>
      </c>
      <c r="J230" s="47">
        <v>1</v>
      </c>
      <c r="K230" s="48"/>
      <c r="L230" s="11"/>
      <c r="O230" s="34"/>
      <c r="P230" s="35"/>
    </row>
    <row r="231" spans="3:16" x14ac:dyDescent="0.25">
      <c r="C231" s="11"/>
      <c r="D231" s="32"/>
      <c r="I231" s="46" t="s">
        <v>710</v>
      </c>
      <c r="J231" s="47">
        <v>1</v>
      </c>
      <c r="K231" s="48"/>
      <c r="L231" s="11"/>
      <c r="O231" s="34"/>
      <c r="P231" s="35"/>
    </row>
    <row r="232" spans="3:16" x14ac:dyDescent="0.25">
      <c r="C232" s="11"/>
      <c r="D232" s="32"/>
      <c r="I232" s="46" t="s">
        <v>711</v>
      </c>
      <c r="J232" s="47">
        <v>1</v>
      </c>
      <c r="K232" s="48"/>
      <c r="L232" s="11"/>
      <c r="O232" s="34"/>
      <c r="P232" s="35"/>
    </row>
    <row r="233" spans="3:16" x14ac:dyDescent="0.25">
      <c r="C233" s="11"/>
      <c r="D233" s="32"/>
      <c r="I233" s="46" t="s">
        <v>712</v>
      </c>
      <c r="J233" s="47">
        <v>1</v>
      </c>
      <c r="K233" s="48"/>
      <c r="L233" s="11"/>
      <c r="O233" s="34"/>
      <c r="P233" s="35"/>
    </row>
    <row r="234" spans="3:16" x14ac:dyDescent="0.25">
      <c r="C234" s="11"/>
      <c r="D234" s="32"/>
      <c r="I234" s="46" t="s">
        <v>713</v>
      </c>
      <c r="J234" s="47">
        <v>1</v>
      </c>
      <c r="K234" s="48"/>
      <c r="L234" s="11"/>
      <c r="O234" s="34"/>
      <c r="P234" s="35"/>
    </row>
    <row r="235" spans="3:16" x14ac:dyDescent="0.25">
      <c r="C235" s="11"/>
      <c r="D235" s="32"/>
      <c r="I235" s="46" t="s">
        <v>714</v>
      </c>
      <c r="J235" s="47">
        <v>1</v>
      </c>
      <c r="K235" s="48"/>
      <c r="L235" s="11"/>
      <c r="O235" s="34"/>
      <c r="P235" s="35"/>
    </row>
    <row r="236" spans="3:16" x14ac:dyDescent="0.25">
      <c r="C236" s="11"/>
      <c r="D236" s="32"/>
      <c r="I236" s="46" t="s">
        <v>715</v>
      </c>
      <c r="J236" s="47">
        <v>1</v>
      </c>
      <c r="K236" s="48"/>
      <c r="L236" s="11"/>
      <c r="O236" s="34"/>
      <c r="P236" s="35"/>
    </row>
    <row r="237" spans="3:16" x14ac:dyDescent="0.25">
      <c r="C237" s="11"/>
      <c r="D237" s="32"/>
      <c r="I237" s="46" t="s">
        <v>716</v>
      </c>
      <c r="J237" s="47">
        <v>3</v>
      </c>
      <c r="K237" s="48" t="s">
        <v>3</v>
      </c>
      <c r="L237" s="11"/>
      <c r="O237" s="34"/>
      <c r="P237" s="35"/>
    </row>
    <row r="238" spans="3:16" x14ac:dyDescent="0.25">
      <c r="C238" s="11"/>
      <c r="D238" s="32"/>
      <c r="I238" s="46" t="s">
        <v>717</v>
      </c>
      <c r="J238" s="47">
        <v>2</v>
      </c>
      <c r="K238" s="48"/>
      <c r="L238" s="11"/>
      <c r="O238" s="34"/>
      <c r="P238" s="35"/>
    </row>
    <row r="239" spans="3:16" x14ac:dyDescent="0.25">
      <c r="C239" s="11"/>
      <c r="D239" s="32"/>
      <c r="I239" s="46" t="s">
        <v>718</v>
      </c>
      <c r="J239" s="47">
        <v>1</v>
      </c>
      <c r="K239" s="48"/>
      <c r="L239" s="11"/>
      <c r="O239" s="34"/>
      <c r="P239" s="35"/>
    </row>
    <row r="240" spans="3:16" x14ac:dyDescent="0.25">
      <c r="C240" s="11"/>
      <c r="D240" s="32"/>
      <c r="I240" s="46" t="s">
        <v>719</v>
      </c>
      <c r="J240" s="47">
        <v>2</v>
      </c>
      <c r="K240" s="48"/>
      <c r="L240" s="11"/>
      <c r="O240" s="34"/>
      <c r="P240" s="35"/>
    </row>
    <row r="241" spans="3:16" x14ac:dyDescent="0.25">
      <c r="C241" s="11"/>
      <c r="D241" s="32"/>
      <c r="I241" s="46" t="s">
        <v>720</v>
      </c>
      <c r="J241" s="47">
        <v>1</v>
      </c>
      <c r="K241" s="48"/>
      <c r="L241" s="11"/>
      <c r="O241" s="34"/>
      <c r="P241" s="35"/>
    </row>
    <row r="242" spans="3:16" x14ac:dyDescent="0.25">
      <c r="C242" s="11"/>
      <c r="D242" s="32"/>
      <c r="I242" s="46" t="s">
        <v>721</v>
      </c>
      <c r="J242" s="47">
        <v>1</v>
      </c>
      <c r="K242" s="48"/>
      <c r="L242" s="11"/>
      <c r="O242" s="34"/>
      <c r="P242" s="35"/>
    </row>
    <row r="243" spans="3:16" x14ac:dyDescent="0.25">
      <c r="C243" s="11"/>
      <c r="D243" s="32"/>
      <c r="I243" s="46" t="s">
        <v>722</v>
      </c>
      <c r="J243" s="47">
        <v>2</v>
      </c>
      <c r="K243" s="48"/>
      <c r="L243" s="11"/>
      <c r="O243" s="34"/>
      <c r="P243" s="35"/>
    </row>
    <row r="244" spans="3:16" x14ac:dyDescent="0.25">
      <c r="C244" s="11"/>
      <c r="D244" s="32"/>
      <c r="I244" s="46" t="s">
        <v>330</v>
      </c>
      <c r="J244" s="47">
        <v>3</v>
      </c>
      <c r="K244" s="48"/>
      <c r="L244" s="11"/>
      <c r="O244" s="34"/>
      <c r="P244" s="35"/>
    </row>
    <row r="245" spans="3:16" x14ac:dyDescent="0.25">
      <c r="C245" s="11"/>
      <c r="D245" s="32"/>
      <c r="I245" s="46" t="s">
        <v>723</v>
      </c>
      <c r="J245" s="47">
        <v>2</v>
      </c>
      <c r="K245" s="48"/>
      <c r="L245" s="11"/>
      <c r="O245" s="34"/>
      <c r="P245" s="35"/>
    </row>
    <row r="246" spans="3:16" x14ac:dyDescent="0.25">
      <c r="C246" s="11"/>
      <c r="D246" s="32"/>
      <c r="I246" s="46" t="s">
        <v>724</v>
      </c>
      <c r="J246" s="47">
        <v>1</v>
      </c>
      <c r="K246" s="48"/>
      <c r="L246" s="11"/>
      <c r="O246" s="34"/>
      <c r="P246" s="35"/>
    </row>
    <row r="247" spans="3:16" x14ac:dyDescent="0.25">
      <c r="C247" s="11"/>
      <c r="D247" s="32"/>
      <c r="I247" s="46" t="s">
        <v>725</v>
      </c>
      <c r="J247" s="47">
        <v>1</v>
      </c>
      <c r="K247" s="48"/>
      <c r="L247" s="11"/>
      <c r="O247" s="34"/>
      <c r="P247" s="35"/>
    </row>
    <row r="248" spans="3:16" x14ac:dyDescent="0.25">
      <c r="C248" s="11"/>
      <c r="D248" s="32"/>
      <c r="I248" s="46" t="s">
        <v>726</v>
      </c>
      <c r="J248" s="47">
        <v>1</v>
      </c>
      <c r="K248" s="48"/>
      <c r="L248" s="11"/>
      <c r="O248" s="34"/>
      <c r="P248" s="35"/>
    </row>
    <row r="249" spans="3:16" x14ac:dyDescent="0.25">
      <c r="C249" s="11"/>
      <c r="D249" s="32"/>
      <c r="I249" s="46" t="s">
        <v>727</v>
      </c>
      <c r="J249" s="47">
        <v>1</v>
      </c>
      <c r="K249" s="48"/>
      <c r="L249" s="11"/>
      <c r="O249" s="34"/>
      <c r="P249" s="35"/>
    </row>
    <row r="250" spans="3:16" x14ac:dyDescent="0.25">
      <c r="C250" s="11"/>
      <c r="D250" s="32"/>
      <c r="I250" s="46" t="s">
        <v>728</v>
      </c>
      <c r="J250" s="47">
        <v>2</v>
      </c>
      <c r="K250" s="48"/>
      <c r="L250" s="11"/>
      <c r="O250" s="34"/>
      <c r="P250" s="35"/>
    </row>
    <row r="251" spans="3:16" x14ac:dyDescent="0.25">
      <c r="C251" s="11"/>
      <c r="D251" s="32"/>
      <c r="I251" s="46" t="s">
        <v>729</v>
      </c>
      <c r="J251" s="47">
        <v>2</v>
      </c>
      <c r="K251" s="48"/>
      <c r="L251" s="11"/>
      <c r="O251" s="34"/>
      <c r="P251" s="35"/>
    </row>
    <row r="252" spans="3:16" x14ac:dyDescent="0.25">
      <c r="C252" s="11"/>
      <c r="D252" s="32"/>
      <c r="I252" s="46" t="s">
        <v>730</v>
      </c>
      <c r="J252" s="47">
        <v>1</v>
      </c>
      <c r="K252" s="48"/>
      <c r="L252" s="11"/>
      <c r="O252" s="34"/>
      <c r="P252" s="35"/>
    </row>
    <row r="253" spans="3:16" x14ac:dyDescent="0.25">
      <c r="C253" s="11"/>
      <c r="D253" s="32"/>
      <c r="I253" s="46" t="s">
        <v>731</v>
      </c>
      <c r="J253" s="47">
        <v>1</v>
      </c>
      <c r="K253" s="48"/>
      <c r="L253" s="11"/>
      <c r="O253" s="34"/>
      <c r="P253" s="35"/>
    </row>
    <row r="254" spans="3:16" x14ac:dyDescent="0.25">
      <c r="C254" s="11"/>
      <c r="D254" s="32"/>
      <c r="I254" s="46" t="s">
        <v>732</v>
      </c>
      <c r="J254" s="47">
        <v>1</v>
      </c>
      <c r="K254" s="48"/>
      <c r="L254" s="11"/>
      <c r="O254" s="34"/>
      <c r="P254" s="35"/>
    </row>
    <row r="255" spans="3:16" x14ac:dyDescent="0.25">
      <c r="C255" s="11"/>
      <c r="D255" s="32"/>
      <c r="I255" s="46" t="s">
        <v>733</v>
      </c>
      <c r="J255" s="47">
        <v>1</v>
      </c>
      <c r="K255" s="48"/>
      <c r="L255" s="11"/>
      <c r="O255" s="34"/>
      <c r="P255" s="35"/>
    </row>
    <row r="256" spans="3:16" x14ac:dyDescent="0.25">
      <c r="C256" s="11"/>
      <c r="D256" s="32"/>
      <c r="I256" s="46" t="s">
        <v>734</v>
      </c>
      <c r="J256" s="47">
        <v>1</v>
      </c>
      <c r="K256" s="48"/>
      <c r="L256" s="11"/>
      <c r="O256" s="34"/>
      <c r="P256" s="35"/>
    </row>
    <row r="257" spans="3:16" x14ac:dyDescent="0.25">
      <c r="C257" s="11"/>
      <c r="D257" s="32"/>
      <c r="I257" s="46" t="s">
        <v>331</v>
      </c>
      <c r="J257" s="47">
        <v>3</v>
      </c>
      <c r="K257" s="48"/>
      <c r="L257" s="11"/>
      <c r="O257" s="34"/>
      <c r="P257" s="35"/>
    </row>
    <row r="258" spans="3:16" x14ac:dyDescent="0.25">
      <c r="C258" s="11"/>
      <c r="D258" s="32"/>
      <c r="I258" s="46" t="s">
        <v>735</v>
      </c>
      <c r="J258" s="47">
        <v>3</v>
      </c>
      <c r="K258" s="48"/>
      <c r="L258" s="11"/>
      <c r="O258" s="34"/>
      <c r="P258" s="35"/>
    </row>
    <row r="259" spans="3:16" x14ac:dyDescent="0.25">
      <c r="C259" s="11"/>
      <c r="D259" s="32"/>
      <c r="I259" s="46" t="s">
        <v>332</v>
      </c>
      <c r="J259" s="47">
        <v>3</v>
      </c>
      <c r="K259" s="48" t="s">
        <v>3</v>
      </c>
      <c r="L259" s="11"/>
      <c r="O259" s="34"/>
      <c r="P259" s="35"/>
    </row>
    <row r="260" spans="3:16" x14ac:dyDescent="0.25">
      <c r="C260" s="11"/>
      <c r="D260" s="32"/>
      <c r="I260" s="46" t="s">
        <v>736</v>
      </c>
      <c r="J260" s="47">
        <v>1</v>
      </c>
      <c r="K260" s="48"/>
      <c r="L260" s="11"/>
      <c r="O260" s="34"/>
      <c r="P260" s="35"/>
    </row>
    <row r="261" spans="3:16" x14ac:dyDescent="0.25">
      <c r="C261" s="11"/>
      <c r="D261" s="32"/>
      <c r="I261" s="46" t="s">
        <v>737</v>
      </c>
      <c r="J261" s="47">
        <v>3</v>
      </c>
      <c r="K261" s="48"/>
      <c r="L261" s="11"/>
      <c r="O261" s="34"/>
      <c r="P261" s="35"/>
    </row>
    <row r="262" spans="3:16" x14ac:dyDescent="0.25">
      <c r="C262" s="11"/>
      <c r="D262" s="32"/>
      <c r="I262" s="46" t="s">
        <v>738</v>
      </c>
      <c r="J262" s="47">
        <v>3</v>
      </c>
      <c r="K262" s="48"/>
      <c r="L262" s="11"/>
      <c r="O262" s="34"/>
      <c r="P262" s="35"/>
    </row>
    <row r="263" spans="3:16" x14ac:dyDescent="0.25">
      <c r="C263" s="11"/>
      <c r="D263" s="32"/>
      <c r="I263" s="46" t="s">
        <v>1209</v>
      </c>
      <c r="J263" s="47">
        <v>3</v>
      </c>
      <c r="K263" s="48"/>
      <c r="L263" s="11"/>
      <c r="O263" s="34"/>
      <c r="P263" s="35"/>
    </row>
    <row r="264" spans="3:16" x14ac:dyDescent="0.25">
      <c r="C264" s="11"/>
      <c r="D264" s="32"/>
      <c r="I264" s="46" t="s">
        <v>739</v>
      </c>
      <c r="J264" s="47">
        <v>1</v>
      </c>
      <c r="K264" s="48"/>
      <c r="L264" s="11"/>
      <c r="O264" s="34"/>
      <c r="P264" s="35"/>
    </row>
    <row r="265" spans="3:16" x14ac:dyDescent="0.25">
      <c r="C265" s="11"/>
      <c r="D265" s="32"/>
      <c r="I265" s="46" t="s">
        <v>740</v>
      </c>
      <c r="J265" s="47">
        <v>1</v>
      </c>
      <c r="K265" s="48"/>
      <c r="L265" s="11"/>
      <c r="O265" s="34"/>
      <c r="P265" s="35"/>
    </row>
    <row r="266" spans="3:16" x14ac:dyDescent="0.25">
      <c r="C266" s="11"/>
      <c r="D266" s="32"/>
      <c r="I266" s="46" t="s">
        <v>741</v>
      </c>
      <c r="J266" s="47">
        <v>1</v>
      </c>
      <c r="K266" s="48"/>
      <c r="L266" s="11"/>
      <c r="O266" s="34"/>
      <c r="P266" s="35"/>
    </row>
    <row r="267" spans="3:16" x14ac:dyDescent="0.25">
      <c r="C267" s="11"/>
      <c r="D267" s="32"/>
      <c r="I267" s="46" t="s">
        <v>742</v>
      </c>
      <c r="J267" s="47">
        <v>2</v>
      </c>
      <c r="K267" s="48"/>
      <c r="L267" s="11"/>
      <c r="O267" s="34"/>
      <c r="P267" s="35"/>
    </row>
    <row r="268" spans="3:16" x14ac:dyDescent="0.25">
      <c r="C268" s="11"/>
      <c r="D268" s="32"/>
      <c r="I268" s="46" t="s">
        <v>743</v>
      </c>
      <c r="J268" s="47">
        <v>1</v>
      </c>
      <c r="K268" s="48"/>
      <c r="L268" s="11"/>
      <c r="O268" s="34"/>
      <c r="P268" s="35"/>
    </row>
    <row r="269" spans="3:16" x14ac:dyDescent="0.25">
      <c r="C269" s="11"/>
      <c r="D269" s="32"/>
      <c r="I269" s="46" t="s">
        <v>333</v>
      </c>
      <c r="J269" s="47">
        <v>2</v>
      </c>
      <c r="K269" s="48"/>
      <c r="L269" s="11"/>
      <c r="O269" s="34"/>
      <c r="P269" s="35"/>
    </row>
    <row r="270" spans="3:16" x14ac:dyDescent="0.25">
      <c r="C270" s="11"/>
      <c r="D270" s="32"/>
      <c r="I270" s="46" t="s">
        <v>744</v>
      </c>
      <c r="J270" s="47">
        <v>1</v>
      </c>
      <c r="K270" s="48"/>
      <c r="L270" s="11"/>
      <c r="O270" s="34"/>
      <c r="P270" s="35"/>
    </row>
    <row r="271" spans="3:16" x14ac:dyDescent="0.25">
      <c r="C271" s="11"/>
      <c r="D271" s="32"/>
      <c r="I271" s="46" t="s">
        <v>745</v>
      </c>
      <c r="J271" s="47">
        <v>1</v>
      </c>
      <c r="K271" s="48"/>
      <c r="L271" s="11"/>
      <c r="O271" s="34"/>
      <c r="P271" s="35"/>
    </row>
    <row r="272" spans="3:16" x14ac:dyDescent="0.25">
      <c r="C272" s="11"/>
      <c r="D272" s="32"/>
      <c r="I272" s="46" t="s">
        <v>746</v>
      </c>
      <c r="J272" s="47">
        <v>1</v>
      </c>
      <c r="K272" s="48"/>
      <c r="L272" s="11"/>
      <c r="O272" s="34"/>
      <c r="P272" s="35"/>
    </row>
    <row r="273" spans="3:16" x14ac:dyDescent="0.25">
      <c r="C273" s="11"/>
      <c r="D273" s="32"/>
      <c r="I273" s="46" t="s">
        <v>747</v>
      </c>
      <c r="J273" s="47">
        <v>1</v>
      </c>
      <c r="K273" s="48"/>
      <c r="L273" s="11"/>
      <c r="O273" s="34"/>
      <c r="P273" s="35"/>
    </row>
    <row r="274" spans="3:16" x14ac:dyDescent="0.25">
      <c r="C274" s="11"/>
      <c r="D274" s="32"/>
      <c r="I274" s="46" t="s">
        <v>748</v>
      </c>
      <c r="J274" s="47">
        <v>1</v>
      </c>
      <c r="K274" s="48"/>
      <c r="L274" s="11"/>
      <c r="O274" s="34"/>
      <c r="P274" s="35"/>
    </row>
    <row r="275" spans="3:16" x14ac:dyDescent="0.25">
      <c r="C275" s="11"/>
      <c r="D275" s="32"/>
      <c r="I275" s="46" t="s">
        <v>749</v>
      </c>
      <c r="J275" s="47">
        <v>1</v>
      </c>
      <c r="K275" s="48"/>
      <c r="L275" s="11"/>
      <c r="O275" s="34"/>
      <c r="P275" s="35"/>
    </row>
    <row r="276" spans="3:16" x14ac:dyDescent="0.25">
      <c r="C276" s="11"/>
      <c r="D276" s="32"/>
      <c r="I276" s="46" t="s">
        <v>750</v>
      </c>
      <c r="J276" s="47">
        <v>1</v>
      </c>
      <c r="K276" s="48"/>
      <c r="L276" s="11"/>
      <c r="O276" s="34"/>
      <c r="P276" s="35"/>
    </row>
    <row r="277" spans="3:16" x14ac:dyDescent="0.25">
      <c r="C277" s="11"/>
      <c r="D277" s="32"/>
      <c r="I277" s="46" t="s">
        <v>751</v>
      </c>
      <c r="J277" s="47">
        <v>1</v>
      </c>
      <c r="K277" s="48"/>
      <c r="L277" s="11"/>
      <c r="O277" s="34"/>
      <c r="P277" s="35"/>
    </row>
    <row r="278" spans="3:16" x14ac:dyDescent="0.25">
      <c r="C278" s="11"/>
      <c r="D278" s="32"/>
      <c r="I278" s="46" t="s">
        <v>752</v>
      </c>
      <c r="J278" s="47">
        <v>1</v>
      </c>
      <c r="K278" s="48"/>
      <c r="L278" s="11"/>
      <c r="O278" s="34"/>
      <c r="P278" s="35"/>
    </row>
    <row r="279" spans="3:16" x14ac:dyDescent="0.25">
      <c r="C279" s="11"/>
      <c r="D279" s="32"/>
      <c r="I279" s="46" t="s">
        <v>753</v>
      </c>
      <c r="J279" s="47">
        <v>1</v>
      </c>
      <c r="K279" s="48"/>
      <c r="L279" s="11"/>
      <c r="O279" s="34"/>
      <c r="P279" s="35"/>
    </row>
    <row r="280" spans="3:16" x14ac:dyDescent="0.25">
      <c r="C280" s="11"/>
      <c r="D280" s="32"/>
      <c r="I280" s="46" t="s">
        <v>754</v>
      </c>
      <c r="J280" s="47">
        <v>1</v>
      </c>
      <c r="K280" s="48"/>
      <c r="L280" s="11"/>
      <c r="O280" s="34"/>
      <c r="P280" s="35"/>
    </row>
    <row r="281" spans="3:16" x14ac:dyDescent="0.25">
      <c r="C281" s="11"/>
      <c r="D281" s="32"/>
      <c r="I281" s="46" t="s">
        <v>755</v>
      </c>
      <c r="J281" s="47">
        <v>3</v>
      </c>
      <c r="K281" s="48"/>
      <c r="L281" s="11"/>
      <c r="O281" s="34"/>
      <c r="P281" s="35"/>
    </row>
    <row r="282" spans="3:16" x14ac:dyDescent="0.25">
      <c r="C282" s="11"/>
      <c r="D282" s="32"/>
      <c r="I282" s="46" t="s">
        <v>756</v>
      </c>
      <c r="J282" s="47">
        <v>2</v>
      </c>
      <c r="K282" s="48"/>
      <c r="L282" s="11"/>
      <c r="O282" s="34"/>
      <c r="P282" s="35"/>
    </row>
    <row r="283" spans="3:16" x14ac:dyDescent="0.25">
      <c r="C283" s="11"/>
      <c r="D283" s="32"/>
      <c r="I283" s="46" t="s">
        <v>334</v>
      </c>
      <c r="J283" s="47">
        <v>1</v>
      </c>
      <c r="K283" s="48"/>
      <c r="L283" s="11"/>
      <c r="O283" s="34"/>
      <c r="P283" s="35"/>
    </row>
    <row r="284" spans="3:16" x14ac:dyDescent="0.25">
      <c r="C284" s="11"/>
      <c r="D284" s="32"/>
      <c r="I284" s="46" t="s">
        <v>757</v>
      </c>
      <c r="J284" s="47">
        <v>1</v>
      </c>
      <c r="K284" s="48"/>
      <c r="L284" s="11"/>
      <c r="O284" s="34"/>
      <c r="P284" s="35"/>
    </row>
    <row r="285" spans="3:16" x14ac:dyDescent="0.25">
      <c r="C285" s="11"/>
      <c r="D285" s="32"/>
      <c r="I285" s="46" t="s">
        <v>758</v>
      </c>
      <c r="J285" s="47">
        <v>1</v>
      </c>
      <c r="K285" s="48"/>
      <c r="L285" s="11"/>
      <c r="O285" s="34"/>
      <c r="P285" s="35"/>
    </row>
    <row r="286" spans="3:16" x14ac:dyDescent="0.25">
      <c r="C286" s="11"/>
      <c r="D286" s="32"/>
      <c r="I286" s="46" t="s">
        <v>759</v>
      </c>
      <c r="J286" s="47">
        <v>1</v>
      </c>
      <c r="K286" s="48"/>
      <c r="L286" s="11"/>
      <c r="O286" s="34"/>
      <c r="P286" s="35"/>
    </row>
    <row r="287" spans="3:16" x14ac:dyDescent="0.25">
      <c r="C287" s="11"/>
      <c r="D287" s="32"/>
      <c r="I287" s="46" t="s">
        <v>760</v>
      </c>
      <c r="J287" s="47">
        <v>1</v>
      </c>
      <c r="K287" s="48"/>
      <c r="L287" s="11"/>
      <c r="O287" s="34"/>
      <c r="P287" s="35"/>
    </row>
    <row r="288" spans="3:16" x14ac:dyDescent="0.25">
      <c r="C288" s="11"/>
      <c r="D288" s="32"/>
      <c r="I288" s="46" t="s">
        <v>761</v>
      </c>
      <c r="J288" s="47">
        <v>1</v>
      </c>
      <c r="K288" s="48"/>
      <c r="L288" s="11"/>
      <c r="O288" s="34"/>
      <c r="P288" s="35"/>
    </row>
    <row r="289" spans="3:16" x14ac:dyDescent="0.25">
      <c r="C289" s="11"/>
      <c r="D289" s="32"/>
      <c r="I289" s="46" t="s">
        <v>762</v>
      </c>
      <c r="J289" s="47">
        <v>1</v>
      </c>
      <c r="K289" s="48"/>
      <c r="L289" s="11"/>
      <c r="O289" s="34"/>
      <c r="P289" s="35"/>
    </row>
    <row r="290" spans="3:16" x14ac:dyDescent="0.25">
      <c r="C290" s="11"/>
      <c r="D290" s="32"/>
      <c r="I290" s="46" t="s">
        <v>763</v>
      </c>
      <c r="J290" s="47">
        <v>1</v>
      </c>
      <c r="K290" s="48"/>
      <c r="L290" s="11"/>
      <c r="O290" s="34"/>
      <c r="P290" s="35"/>
    </row>
    <row r="291" spans="3:16" x14ac:dyDescent="0.25">
      <c r="C291" s="11"/>
      <c r="D291" s="32"/>
      <c r="I291" s="46" t="s">
        <v>764</v>
      </c>
      <c r="J291" s="47">
        <v>1</v>
      </c>
      <c r="K291" s="48"/>
      <c r="L291" s="11"/>
      <c r="O291" s="34"/>
      <c r="P291" s="35"/>
    </row>
    <row r="292" spans="3:16" x14ac:dyDescent="0.25">
      <c r="C292" s="11"/>
      <c r="D292" s="32"/>
      <c r="I292" s="46" t="s">
        <v>765</v>
      </c>
      <c r="J292" s="47">
        <v>1</v>
      </c>
      <c r="K292" s="48"/>
      <c r="L292" s="11"/>
      <c r="O292" s="34"/>
      <c r="P292" s="35"/>
    </row>
    <row r="293" spans="3:16" x14ac:dyDescent="0.25">
      <c r="C293" s="11"/>
      <c r="D293" s="32"/>
      <c r="I293" s="46" t="s">
        <v>766</v>
      </c>
      <c r="J293" s="47">
        <v>1</v>
      </c>
      <c r="K293" s="48"/>
      <c r="L293" s="11"/>
      <c r="O293" s="34"/>
      <c r="P293" s="35"/>
    </row>
    <row r="294" spans="3:16" x14ac:dyDescent="0.25">
      <c r="C294" s="11"/>
      <c r="D294" s="32"/>
      <c r="I294" s="46" t="s">
        <v>767</v>
      </c>
      <c r="J294" s="47">
        <v>1</v>
      </c>
      <c r="K294" s="48"/>
      <c r="L294" s="11"/>
      <c r="O294" s="34"/>
      <c r="P294" s="35"/>
    </row>
    <row r="295" spans="3:16" x14ac:dyDescent="0.25">
      <c r="C295" s="11"/>
      <c r="D295" s="32"/>
      <c r="I295" s="46" t="s">
        <v>768</v>
      </c>
      <c r="J295" s="47">
        <v>1</v>
      </c>
      <c r="K295" s="48"/>
      <c r="L295" s="11"/>
      <c r="O295" s="34"/>
      <c r="P295" s="35"/>
    </row>
    <row r="296" spans="3:16" x14ac:dyDescent="0.25">
      <c r="C296" s="11"/>
      <c r="D296" s="32"/>
      <c r="I296" s="46" t="s">
        <v>769</v>
      </c>
      <c r="J296" s="47">
        <v>1</v>
      </c>
      <c r="K296" s="48"/>
      <c r="L296" s="11"/>
      <c r="O296" s="34"/>
      <c r="P296" s="35"/>
    </row>
    <row r="297" spans="3:16" x14ac:dyDescent="0.25">
      <c r="C297" s="11"/>
      <c r="D297" s="32"/>
      <c r="I297" s="46" t="s">
        <v>770</v>
      </c>
      <c r="J297" s="47">
        <v>1</v>
      </c>
      <c r="K297" s="48"/>
      <c r="L297" s="11"/>
      <c r="O297" s="34"/>
      <c r="P297" s="35"/>
    </row>
    <row r="298" spans="3:16" x14ac:dyDescent="0.25">
      <c r="C298" s="11"/>
      <c r="D298" s="32"/>
      <c r="I298" s="46" t="s">
        <v>771</v>
      </c>
      <c r="J298" s="47">
        <v>1</v>
      </c>
      <c r="K298" s="48"/>
      <c r="L298" s="11"/>
      <c r="O298" s="34"/>
      <c r="P298" s="35"/>
    </row>
    <row r="299" spans="3:16" x14ac:dyDescent="0.25">
      <c r="C299" s="11"/>
      <c r="D299" s="32"/>
      <c r="I299" s="46" t="s">
        <v>772</v>
      </c>
      <c r="J299" s="47">
        <v>1</v>
      </c>
      <c r="K299" s="48"/>
      <c r="L299" s="11"/>
      <c r="O299" s="34"/>
      <c r="P299" s="35"/>
    </row>
    <row r="300" spans="3:16" x14ac:dyDescent="0.25">
      <c r="C300" s="11"/>
      <c r="D300" s="32"/>
      <c r="I300" s="46" t="s">
        <v>773</v>
      </c>
      <c r="J300" s="47">
        <v>1</v>
      </c>
      <c r="K300" s="48"/>
      <c r="L300" s="11"/>
      <c r="O300" s="34"/>
      <c r="P300" s="35"/>
    </row>
    <row r="301" spans="3:16" x14ac:dyDescent="0.25">
      <c r="C301" s="11"/>
      <c r="D301" s="32"/>
      <c r="I301" s="46" t="s">
        <v>774</v>
      </c>
      <c r="J301" s="47">
        <v>1</v>
      </c>
      <c r="K301" s="48"/>
      <c r="L301" s="11"/>
      <c r="O301" s="34"/>
      <c r="P301" s="35"/>
    </row>
    <row r="302" spans="3:16" x14ac:dyDescent="0.25">
      <c r="C302" s="11"/>
      <c r="D302" s="32"/>
      <c r="I302" s="46" t="s">
        <v>775</v>
      </c>
      <c r="J302" s="47">
        <v>1</v>
      </c>
      <c r="K302" s="48"/>
      <c r="L302" s="11"/>
      <c r="O302" s="34"/>
      <c r="P302" s="35"/>
    </row>
    <row r="303" spans="3:16" x14ac:dyDescent="0.25">
      <c r="C303" s="11"/>
      <c r="D303" s="32"/>
      <c r="I303" s="46" t="s">
        <v>776</v>
      </c>
      <c r="J303" s="47">
        <v>1</v>
      </c>
      <c r="K303" s="48"/>
      <c r="L303" s="11"/>
      <c r="O303" s="34"/>
      <c r="P303" s="35"/>
    </row>
    <row r="304" spans="3:16" x14ac:dyDescent="0.25">
      <c r="C304" s="11"/>
      <c r="D304" s="32"/>
      <c r="I304" s="46" t="s">
        <v>777</v>
      </c>
      <c r="J304" s="47">
        <v>1</v>
      </c>
      <c r="K304" s="48"/>
      <c r="L304" s="11"/>
      <c r="O304" s="34"/>
      <c r="P304" s="35"/>
    </row>
    <row r="305" spans="3:16" x14ac:dyDescent="0.25">
      <c r="C305" s="11"/>
      <c r="D305" s="32"/>
      <c r="I305" s="46" t="s">
        <v>778</v>
      </c>
      <c r="J305" s="47">
        <v>3</v>
      </c>
      <c r="K305" s="48"/>
      <c r="L305" s="11"/>
      <c r="O305" s="34"/>
      <c r="P305" s="35"/>
    </row>
    <row r="306" spans="3:16" x14ac:dyDescent="0.25">
      <c r="C306" s="11"/>
      <c r="D306" s="32"/>
      <c r="I306" s="46" t="s">
        <v>779</v>
      </c>
      <c r="J306" s="47">
        <v>2</v>
      </c>
      <c r="K306" s="48"/>
      <c r="L306" s="11"/>
      <c r="O306" s="34"/>
      <c r="P306" s="35"/>
    </row>
    <row r="307" spans="3:16" x14ac:dyDescent="0.25">
      <c r="C307" s="11"/>
      <c r="D307" s="32"/>
      <c r="I307" s="46" t="s">
        <v>780</v>
      </c>
      <c r="J307" s="47">
        <v>3</v>
      </c>
      <c r="K307" s="48"/>
      <c r="L307" s="11"/>
      <c r="O307" s="34"/>
      <c r="P307" s="35"/>
    </row>
    <row r="308" spans="3:16" x14ac:dyDescent="0.25">
      <c r="C308" s="11"/>
      <c r="D308" s="32"/>
      <c r="I308" s="46" t="s">
        <v>781</v>
      </c>
      <c r="J308" s="47">
        <v>2</v>
      </c>
      <c r="K308" s="48"/>
      <c r="L308" s="11"/>
      <c r="O308" s="34"/>
      <c r="P308" s="35"/>
    </row>
    <row r="309" spans="3:16" x14ac:dyDescent="0.25">
      <c r="C309" s="11"/>
      <c r="D309" s="32"/>
      <c r="I309" s="46" t="s">
        <v>782</v>
      </c>
      <c r="J309" s="47">
        <v>2</v>
      </c>
      <c r="K309" s="48"/>
      <c r="L309" s="11"/>
      <c r="O309" s="34"/>
      <c r="P309" s="35"/>
    </row>
    <row r="310" spans="3:16" x14ac:dyDescent="0.25">
      <c r="C310" s="11"/>
      <c r="D310" s="32"/>
      <c r="I310" s="46" t="s">
        <v>783</v>
      </c>
      <c r="J310" s="47">
        <v>1</v>
      </c>
      <c r="K310" s="48"/>
      <c r="L310" s="11"/>
      <c r="O310" s="34"/>
      <c r="P310" s="35"/>
    </row>
    <row r="311" spans="3:16" x14ac:dyDescent="0.25">
      <c r="C311" s="11"/>
      <c r="D311" s="32"/>
      <c r="I311" s="46" t="s">
        <v>784</v>
      </c>
      <c r="J311" s="47">
        <v>2</v>
      </c>
      <c r="K311" s="48"/>
      <c r="L311" s="11"/>
      <c r="O311" s="34"/>
      <c r="P311" s="35"/>
    </row>
    <row r="312" spans="3:16" x14ac:dyDescent="0.25">
      <c r="C312" s="11"/>
      <c r="D312" s="32"/>
      <c r="I312" s="46" t="s">
        <v>785</v>
      </c>
      <c r="J312" s="47">
        <v>1</v>
      </c>
      <c r="K312" s="48"/>
      <c r="L312" s="11"/>
      <c r="O312" s="34"/>
      <c r="P312" s="35"/>
    </row>
    <row r="313" spans="3:16" x14ac:dyDescent="0.25">
      <c r="C313" s="11"/>
      <c r="D313" s="32"/>
      <c r="I313" s="46" t="s">
        <v>786</v>
      </c>
      <c r="J313" s="47">
        <v>1</v>
      </c>
      <c r="K313" s="48"/>
      <c r="L313" s="11"/>
      <c r="O313" s="34"/>
      <c r="P313" s="35"/>
    </row>
    <row r="314" spans="3:16" x14ac:dyDescent="0.25">
      <c r="C314" s="11"/>
      <c r="D314" s="32"/>
      <c r="I314" s="46" t="s">
        <v>787</v>
      </c>
      <c r="J314" s="47">
        <v>2</v>
      </c>
      <c r="K314" s="48"/>
      <c r="L314" s="11"/>
      <c r="O314" s="34"/>
      <c r="P314" s="35"/>
    </row>
    <row r="315" spans="3:16" x14ac:dyDescent="0.25">
      <c r="C315" s="11"/>
      <c r="D315" s="32"/>
      <c r="I315" s="46" t="s">
        <v>788</v>
      </c>
      <c r="J315" s="47">
        <v>2</v>
      </c>
      <c r="K315" s="48"/>
      <c r="L315" s="11"/>
      <c r="O315" s="34"/>
      <c r="P315" s="35"/>
    </row>
    <row r="316" spans="3:16" x14ac:dyDescent="0.25">
      <c r="C316" s="11"/>
      <c r="D316" s="32"/>
      <c r="I316" s="46" t="s">
        <v>789</v>
      </c>
      <c r="J316" s="47">
        <v>1</v>
      </c>
      <c r="K316" s="48"/>
      <c r="L316" s="11"/>
      <c r="O316" s="34"/>
      <c r="P316" s="35"/>
    </row>
    <row r="317" spans="3:16" x14ac:dyDescent="0.25">
      <c r="C317" s="11"/>
      <c r="D317" s="32"/>
      <c r="I317" s="46" t="s">
        <v>790</v>
      </c>
      <c r="J317" s="47">
        <v>1</v>
      </c>
      <c r="K317" s="48"/>
      <c r="L317" s="11"/>
      <c r="O317" s="34"/>
      <c r="P317" s="35"/>
    </row>
    <row r="318" spans="3:16" x14ac:dyDescent="0.25">
      <c r="C318" s="11"/>
      <c r="D318" s="32"/>
      <c r="I318" s="46" t="s">
        <v>791</v>
      </c>
      <c r="J318" s="47">
        <v>1</v>
      </c>
      <c r="K318" s="48"/>
      <c r="L318" s="11"/>
      <c r="O318" s="34"/>
      <c r="P318" s="35"/>
    </row>
    <row r="319" spans="3:16" x14ac:dyDescent="0.25">
      <c r="C319" s="11"/>
      <c r="D319" s="32"/>
      <c r="I319" s="46" t="s">
        <v>792</v>
      </c>
      <c r="J319" s="47">
        <v>2</v>
      </c>
      <c r="K319" s="48"/>
      <c r="L319" s="11"/>
      <c r="O319" s="34"/>
      <c r="P319" s="35"/>
    </row>
    <row r="320" spans="3:16" x14ac:dyDescent="0.25">
      <c r="C320" s="11"/>
      <c r="D320" s="32"/>
      <c r="I320" s="46" t="s">
        <v>793</v>
      </c>
      <c r="J320" s="47">
        <v>1</v>
      </c>
      <c r="K320" s="48"/>
      <c r="L320" s="11"/>
      <c r="O320" s="34"/>
      <c r="P320" s="35"/>
    </row>
    <row r="321" spans="3:16" x14ac:dyDescent="0.25">
      <c r="C321" s="11"/>
      <c r="D321" s="32"/>
      <c r="I321" s="46" t="s">
        <v>794</v>
      </c>
      <c r="J321" s="47">
        <v>3</v>
      </c>
      <c r="K321" s="48"/>
      <c r="L321" s="11"/>
      <c r="O321" s="34"/>
      <c r="P321" s="35"/>
    </row>
    <row r="322" spans="3:16" x14ac:dyDescent="0.25">
      <c r="C322" s="11"/>
      <c r="D322" s="32"/>
      <c r="I322" s="46" t="s">
        <v>795</v>
      </c>
      <c r="J322" s="47">
        <v>2</v>
      </c>
      <c r="K322" s="48"/>
      <c r="L322" s="11"/>
      <c r="O322" s="34"/>
      <c r="P322" s="35"/>
    </row>
    <row r="323" spans="3:16" x14ac:dyDescent="0.25">
      <c r="C323" s="11"/>
      <c r="D323" s="32"/>
      <c r="I323" s="46" t="s">
        <v>796</v>
      </c>
      <c r="J323" s="47">
        <v>1</v>
      </c>
      <c r="K323" s="48"/>
      <c r="L323" s="11"/>
      <c r="O323" s="34"/>
      <c r="P323" s="35"/>
    </row>
    <row r="324" spans="3:16" x14ac:dyDescent="0.25">
      <c r="C324" s="11"/>
      <c r="D324" s="32"/>
      <c r="I324" s="46" t="s">
        <v>797</v>
      </c>
      <c r="J324" s="47">
        <v>1</v>
      </c>
      <c r="K324" s="48"/>
      <c r="L324" s="11"/>
      <c r="O324" s="34"/>
      <c r="P324" s="35"/>
    </row>
    <row r="325" spans="3:16" x14ac:dyDescent="0.25">
      <c r="C325" s="11"/>
      <c r="D325" s="32"/>
      <c r="I325" s="46" t="s">
        <v>1207</v>
      </c>
      <c r="J325" s="47">
        <v>2</v>
      </c>
      <c r="K325" s="48"/>
      <c r="L325" s="11"/>
      <c r="O325" s="34"/>
      <c r="P325" s="35"/>
    </row>
    <row r="326" spans="3:16" x14ac:dyDescent="0.25">
      <c r="C326" s="11"/>
      <c r="D326" s="32"/>
      <c r="I326" s="46" t="s">
        <v>798</v>
      </c>
      <c r="J326" s="47">
        <v>1</v>
      </c>
      <c r="K326" s="48"/>
      <c r="L326" s="11"/>
      <c r="O326" s="34"/>
      <c r="P326" s="35"/>
    </row>
    <row r="327" spans="3:16" x14ac:dyDescent="0.25">
      <c r="C327" s="11"/>
      <c r="D327" s="32"/>
      <c r="I327" s="46" t="s">
        <v>799</v>
      </c>
      <c r="J327" s="47">
        <v>3</v>
      </c>
      <c r="K327" s="48"/>
      <c r="L327" s="11"/>
      <c r="O327" s="34"/>
      <c r="P327" s="35"/>
    </row>
    <row r="328" spans="3:16" x14ac:dyDescent="0.25">
      <c r="C328" s="11"/>
      <c r="D328" s="32"/>
      <c r="I328" s="46" t="s">
        <v>800</v>
      </c>
      <c r="J328" s="47">
        <v>3</v>
      </c>
      <c r="K328" s="48"/>
      <c r="L328" s="11"/>
      <c r="O328" s="34"/>
      <c r="P328" s="35"/>
    </row>
    <row r="329" spans="3:16" x14ac:dyDescent="0.25">
      <c r="C329" s="11"/>
      <c r="D329" s="32"/>
      <c r="I329" s="46" t="s">
        <v>801</v>
      </c>
      <c r="J329" s="47">
        <v>1</v>
      </c>
      <c r="K329" s="48"/>
      <c r="L329" s="11"/>
      <c r="O329" s="34"/>
      <c r="P329" s="35"/>
    </row>
    <row r="330" spans="3:16" x14ac:dyDescent="0.25">
      <c r="C330" s="11"/>
      <c r="D330" s="32"/>
      <c r="I330" s="46" t="s">
        <v>802</v>
      </c>
      <c r="J330" s="47">
        <v>1</v>
      </c>
      <c r="K330" s="48"/>
      <c r="L330" s="11"/>
      <c r="O330" s="34"/>
      <c r="P330" s="35"/>
    </row>
    <row r="331" spans="3:16" x14ac:dyDescent="0.25">
      <c r="C331" s="11"/>
      <c r="D331" s="32"/>
      <c r="I331" s="46" t="s">
        <v>803</v>
      </c>
      <c r="J331" s="47">
        <v>1</v>
      </c>
      <c r="K331" s="48"/>
      <c r="L331" s="11"/>
      <c r="O331" s="34"/>
      <c r="P331" s="35"/>
    </row>
    <row r="332" spans="3:16" x14ac:dyDescent="0.25">
      <c r="C332" s="11"/>
      <c r="D332" s="32"/>
      <c r="I332" s="46" t="s">
        <v>804</v>
      </c>
      <c r="J332" s="47">
        <v>3</v>
      </c>
      <c r="K332" s="48"/>
      <c r="L332" s="11"/>
      <c r="O332" s="34"/>
      <c r="P332" s="35"/>
    </row>
    <row r="333" spans="3:16" x14ac:dyDescent="0.25">
      <c r="C333" s="11"/>
      <c r="D333" s="32"/>
      <c r="I333" s="46" t="s">
        <v>805</v>
      </c>
      <c r="J333" s="47">
        <v>1</v>
      </c>
      <c r="K333" s="48"/>
      <c r="L333" s="11"/>
      <c r="O333" s="34"/>
      <c r="P333" s="35"/>
    </row>
    <row r="334" spans="3:16" x14ac:dyDescent="0.25">
      <c r="C334" s="11"/>
      <c r="D334" s="32"/>
      <c r="I334" s="46" t="s">
        <v>806</v>
      </c>
      <c r="J334" s="47">
        <v>1</v>
      </c>
      <c r="K334" s="48"/>
      <c r="L334" s="11"/>
      <c r="O334" s="34"/>
      <c r="P334" s="35"/>
    </row>
    <row r="335" spans="3:16" x14ac:dyDescent="0.25">
      <c r="C335" s="11"/>
      <c r="D335" s="32"/>
      <c r="I335" s="46" t="s">
        <v>807</v>
      </c>
      <c r="J335" s="47">
        <v>1</v>
      </c>
      <c r="K335" s="48"/>
      <c r="L335" s="11"/>
      <c r="O335" s="34"/>
      <c r="P335" s="35"/>
    </row>
    <row r="336" spans="3:16" x14ac:dyDescent="0.25">
      <c r="C336" s="11"/>
      <c r="D336" s="32"/>
      <c r="I336" s="46" t="s">
        <v>808</v>
      </c>
      <c r="J336" s="47">
        <v>1</v>
      </c>
      <c r="K336" s="48"/>
      <c r="L336" s="11"/>
      <c r="O336" s="34"/>
      <c r="P336" s="35"/>
    </row>
    <row r="337" spans="3:16" x14ac:dyDescent="0.25">
      <c r="C337" s="11"/>
      <c r="D337" s="32"/>
      <c r="I337" s="46" t="s">
        <v>809</v>
      </c>
      <c r="J337" s="47">
        <v>1</v>
      </c>
      <c r="K337" s="48"/>
      <c r="L337" s="11"/>
      <c r="O337" s="34"/>
      <c r="P337" s="35"/>
    </row>
    <row r="338" spans="3:16" x14ac:dyDescent="0.25">
      <c r="C338" s="11"/>
      <c r="D338" s="32"/>
      <c r="I338" s="46" t="s">
        <v>810</v>
      </c>
      <c r="J338" s="47">
        <v>1</v>
      </c>
      <c r="K338" s="48"/>
      <c r="L338" s="11"/>
      <c r="O338" s="34"/>
      <c r="P338" s="35"/>
    </row>
    <row r="339" spans="3:16" x14ac:dyDescent="0.25">
      <c r="C339" s="11"/>
      <c r="D339" s="32"/>
      <c r="I339" s="46" t="s">
        <v>335</v>
      </c>
      <c r="J339" s="47">
        <v>1</v>
      </c>
      <c r="K339" s="48"/>
      <c r="L339" s="11"/>
      <c r="O339" s="34"/>
      <c r="P339" s="35"/>
    </row>
    <row r="340" spans="3:16" x14ac:dyDescent="0.25">
      <c r="C340" s="11"/>
      <c r="D340" s="32"/>
      <c r="I340" s="46" t="s">
        <v>336</v>
      </c>
      <c r="J340" s="47">
        <v>2</v>
      </c>
      <c r="K340" s="48"/>
      <c r="L340" s="11"/>
      <c r="O340" s="34"/>
      <c r="P340" s="35"/>
    </row>
    <row r="341" spans="3:16" x14ac:dyDescent="0.25">
      <c r="C341" s="11"/>
      <c r="D341" s="32"/>
      <c r="I341" s="46" t="s">
        <v>811</v>
      </c>
      <c r="J341" s="47">
        <v>1</v>
      </c>
      <c r="K341" s="48"/>
      <c r="L341" s="11"/>
      <c r="O341" s="34"/>
      <c r="P341" s="35"/>
    </row>
    <row r="342" spans="3:16" x14ac:dyDescent="0.25">
      <c r="C342" s="11"/>
      <c r="D342" s="32"/>
      <c r="I342" s="46" t="s">
        <v>812</v>
      </c>
      <c r="J342" s="47">
        <v>1</v>
      </c>
      <c r="K342" s="48"/>
      <c r="L342" s="11"/>
      <c r="O342" s="34"/>
      <c r="P342" s="35"/>
    </row>
    <row r="343" spans="3:16" x14ac:dyDescent="0.25">
      <c r="C343" s="11"/>
      <c r="D343" s="32"/>
      <c r="I343" s="46" t="s">
        <v>813</v>
      </c>
      <c r="J343" s="47">
        <v>1</v>
      </c>
      <c r="K343" s="48"/>
      <c r="L343" s="11"/>
      <c r="O343" s="34"/>
      <c r="P343" s="35"/>
    </row>
    <row r="344" spans="3:16" x14ac:dyDescent="0.25">
      <c r="C344" s="11"/>
      <c r="D344" s="32"/>
      <c r="I344" s="46" t="s">
        <v>814</v>
      </c>
      <c r="J344" s="47">
        <v>1</v>
      </c>
      <c r="K344" s="48"/>
      <c r="L344" s="11"/>
      <c r="O344" s="34"/>
      <c r="P344" s="35"/>
    </row>
    <row r="345" spans="3:16" x14ac:dyDescent="0.25">
      <c r="C345" s="11"/>
      <c r="D345" s="32"/>
      <c r="I345" s="46" t="s">
        <v>815</v>
      </c>
      <c r="J345" s="47">
        <v>1</v>
      </c>
      <c r="K345" s="48"/>
      <c r="L345" s="11"/>
      <c r="O345" s="34"/>
      <c r="P345" s="35"/>
    </row>
    <row r="346" spans="3:16" x14ac:dyDescent="0.25">
      <c r="C346" s="11"/>
      <c r="D346" s="32"/>
      <c r="I346" s="46" t="s">
        <v>816</v>
      </c>
      <c r="J346" s="47">
        <v>1</v>
      </c>
      <c r="K346" s="48"/>
      <c r="L346" s="11"/>
      <c r="O346" s="34"/>
      <c r="P346" s="35"/>
    </row>
    <row r="347" spans="3:16" x14ac:dyDescent="0.25">
      <c r="C347" s="11"/>
      <c r="D347" s="32"/>
      <c r="I347" s="46" t="s">
        <v>817</v>
      </c>
      <c r="J347" s="47">
        <v>1</v>
      </c>
      <c r="K347" s="48"/>
      <c r="L347" s="11"/>
      <c r="O347" s="34"/>
      <c r="P347" s="35"/>
    </row>
    <row r="348" spans="3:16" x14ac:dyDescent="0.25">
      <c r="C348" s="11"/>
      <c r="D348" s="32"/>
      <c r="I348" s="46" t="s">
        <v>818</v>
      </c>
      <c r="J348" s="47">
        <v>1</v>
      </c>
      <c r="K348" s="48"/>
      <c r="L348" s="11"/>
      <c r="O348" s="34"/>
      <c r="P348" s="35"/>
    </row>
    <row r="349" spans="3:16" x14ac:dyDescent="0.25">
      <c r="C349" s="11"/>
      <c r="D349" s="32"/>
      <c r="I349" s="46" t="s">
        <v>819</v>
      </c>
      <c r="J349" s="47">
        <v>1</v>
      </c>
      <c r="K349" s="48"/>
      <c r="L349" s="11"/>
      <c r="O349" s="34"/>
      <c r="P349" s="35"/>
    </row>
    <row r="350" spans="3:16" x14ac:dyDescent="0.25">
      <c r="C350" s="11"/>
      <c r="D350" s="32"/>
      <c r="I350" s="46" t="s">
        <v>820</v>
      </c>
      <c r="J350" s="47">
        <v>1</v>
      </c>
      <c r="K350" s="48"/>
      <c r="L350" s="11"/>
      <c r="O350" s="34"/>
      <c r="P350" s="35"/>
    </row>
    <row r="351" spans="3:16" x14ac:dyDescent="0.25">
      <c r="C351" s="11"/>
      <c r="D351" s="32"/>
      <c r="I351" s="46" t="s">
        <v>821</v>
      </c>
      <c r="J351" s="47">
        <v>2</v>
      </c>
      <c r="K351" s="48"/>
      <c r="L351" s="11"/>
      <c r="O351" s="34"/>
      <c r="P351" s="35"/>
    </row>
    <row r="352" spans="3:16" x14ac:dyDescent="0.25">
      <c r="C352" s="11"/>
      <c r="D352" s="32"/>
      <c r="I352" s="46" t="s">
        <v>822</v>
      </c>
      <c r="J352" s="47">
        <v>1</v>
      </c>
      <c r="K352" s="48"/>
      <c r="L352" s="11"/>
      <c r="O352" s="34"/>
      <c r="P352" s="35"/>
    </row>
    <row r="353" spans="3:16" x14ac:dyDescent="0.25">
      <c r="C353" s="11"/>
      <c r="D353" s="32"/>
      <c r="I353" s="46" t="s">
        <v>823</v>
      </c>
      <c r="J353" s="47">
        <v>1</v>
      </c>
      <c r="K353" s="48"/>
      <c r="L353" s="11"/>
      <c r="O353" s="34"/>
      <c r="P353" s="35"/>
    </row>
    <row r="354" spans="3:16" x14ac:dyDescent="0.25">
      <c r="C354" s="11"/>
      <c r="D354" s="32"/>
      <c r="I354" s="46" t="s">
        <v>824</v>
      </c>
      <c r="J354" s="47">
        <v>2</v>
      </c>
      <c r="K354" s="48"/>
      <c r="L354" s="11"/>
      <c r="O354" s="34"/>
      <c r="P354" s="35"/>
    </row>
    <row r="355" spans="3:16" x14ac:dyDescent="0.25">
      <c r="C355" s="11"/>
      <c r="D355" s="32"/>
      <c r="I355" s="46" t="s">
        <v>825</v>
      </c>
      <c r="J355" s="47">
        <v>1</v>
      </c>
      <c r="K355" s="48"/>
      <c r="L355" s="11"/>
      <c r="O355" s="34"/>
      <c r="P355" s="35"/>
    </row>
    <row r="356" spans="3:16" x14ac:dyDescent="0.25">
      <c r="C356" s="11"/>
      <c r="D356" s="32"/>
      <c r="I356" s="46" t="s">
        <v>826</v>
      </c>
      <c r="J356" s="47">
        <v>2</v>
      </c>
      <c r="K356" s="48"/>
      <c r="L356" s="11"/>
      <c r="O356" s="34"/>
      <c r="P356" s="35"/>
    </row>
    <row r="357" spans="3:16" x14ac:dyDescent="0.25">
      <c r="C357" s="11"/>
      <c r="D357" s="32"/>
      <c r="I357" s="46" t="s">
        <v>827</v>
      </c>
      <c r="J357" s="47">
        <v>1</v>
      </c>
      <c r="K357" s="48"/>
      <c r="L357" s="11"/>
      <c r="O357" s="34"/>
      <c r="P357" s="35"/>
    </row>
    <row r="358" spans="3:16" x14ac:dyDescent="0.25">
      <c r="C358" s="11"/>
      <c r="D358" s="32"/>
      <c r="I358" s="46" t="s">
        <v>828</v>
      </c>
      <c r="J358" s="47">
        <v>3</v>
      </c>
      <c r="K358" s="48" t="s">
        <v>3</v>
      </c>
      <c r="L358" s="11"/>
      <c r="O358" s="34"/>
      <c r="P358" s="35"/>
    </row>
    <row r="359" spans="3:16" x14ac:dyDescent="0.25">
      <c r="C359" s="11"/>
      <c r="D359" s="32"/>
      <c r="I359" s="46" t="s">
        <v>829</v>
      </c>
      <c r="J359" s="47">
        <v>1</v>
      </c>
      <c r="K359" s="48"/>
      <c r="L359" s="11"/>
      <c r="O359" s="34"/>
      <c r="P359" s="35"/>
    </row>
    <row r="360" spans="3:16" x14ac:dyDescent="0.25">
      <c r="C360" s="11"/>
      <c r="D360" s="32"/>
      <c r="I360" s="46" t="s">
        <v>830</v>
      </c>
      <c r="J360" s="47">
        <v>2</v>
      </c>
      <c r="K360" s="48"/>
      <c r="L360" s="11"/>
      <c r="O360" s="34"/>
      <c r="P360" s="35"/>
    </row>
    <row r="361" spans="3:16" x14ac:dyDescent="0.25">
      <c r="C361" s="11"/>
      <c r="D361" s="32"/>
      <c r="I361" s="46" t="s">
        <v>831</v>
      </c>
      <c r="J361" s="47">
        <v>1</v>
      </c>
      <c r="K361" s="48"/>
      <c r="L361" s="11"/>
      <c r="O361" s="34"/>
      <c r="P361" s="35"/>
    </row>
    <row r="362" spans="3:16" x14ac:dyDescent="0.25">
      <c r="C362" s="11"/>
      <c r="D362" s="32"/>
      <c r="I362" s="46" t="s">
        <v>832</v>
      </c>
      <c r="J362" s="47">
        <v>1</v>
      </c>
      <c r="K362" s="48"/>
      <c r="L362" s="11"/>
      <c r="O362" s="34"/>
      <c r="P362" s="35"/>
    </row>
    <row r="363" spans="3:16" x14ac:dyDescent="0.25">
      <c r="C363" s="11"/>
      <c r="D363" s="32"/>
      <c r="I363" s="46" t="s">
        <v>833</v>
      </c>
      <c r="J363" s="47">
        <v>1</v>
      </c>
      <c r="K363" s="48"/>
      <c r="L363" s="11"/>
      <c r="O363" s="34"/>
      <c r="P363" s="35"/>
    </row>
    <row r="364" spans="3:16" x14ac:dyDescent="0.25">
      <c r="C364" s="11"/>
      <c r="D364" s="32"/>
      <c r="I364" s="46" t="s">
        <v>834</v>
      </c>
      <c r="J364" s="47">
        <v>1</v>
      </c>
      <c r="K364" s="48"/>
      <c r="L364" s="11"/>
      <c r="O364" s="34"/>
      <c r="P364" s="35"/>
    </row>
    <row r="365" spans="3:16" x14ac:dyDescent="0.25">
      <c r="C365" s="11"/>
      <c r="D365" s="32"/>
      <c r="I365" s="46" t="s">
        <v>835</v>
      </c>
      <c r="J365" s="47">
        <v>1</v>
      </c>
      <c r="K365" s="48"/>
      <c r="L365" s="11"/>
      <c r="O365" s="34"/>
      <c r="P365" s="35"/>
    </row>
    <row r="366" spans="3:16" x14ac:dyDescent="0.25">
      <c r="C366" s="11"/>
      <c r="D366" s="32"/>
      <c r="I366" s="46" t="s">
        <v>836</v>
      </c>
      <c r="J366" s="47">
        <v>3</v>
      </c>
      <c r="K366" s="48" t="s">
        <v>3</v>
      </c>
      <c r="L366" s="11"/>
      <c r="O366" s="34"/>
      <c r="P366" s="35"/>
    </row>
    <row r="367" spans="3:16" x14ac:dyDescent="0.25">
      <c r="C367" s="11"/>
      <c r="D367" s="32"/>
      <c r="I367" s="46" t="s">
        <v>837</v>
      </c>
      <c r="J367" s="47">
        <v>3</v>
      </c>
      <c r="K367" s="48"/>
      <c r="L367" s="11"/>
      <c r="O367" s="34"/>
      <c r="P367" s="35"/>
    </row>
    <row r="368" spans="3:16" x14ac:dyDescent="0.25">
      <c r="C368" s="11"/>
      <c r="D368" s="32"/>
      <c r="I368" s="46" t="s">
        <v>838</v>
      </c>
      <c r="J368" s="47">
        <v>1</v>
      </c>
      <c r="K368" s="48"/>
      <c r="L368" s="11"/>
      <c r="O368" s="34"/>
      <c r="P368" s="35"/>
    </row>
    <row r="369" spans="3:16" x14ac:dyDescent="0.25">
      <c r="C369" s="11"/>
      <c r="D369" s="32"/>
      <c r="I369" s="46" t="s">
        <v>839</v>
      </c>
      <c r="J369" s="47">
        <v>1</v>
      </c>
      <c r="K369" s="48"/>
      <c r="L369" s="11"/>
      <c r="O369" s="34"/>
      <c r="P369" s="35"/>
    </row>
    <row r="370" spans="3:16" x14ac:dyDescent="0.25">
      <c r="C370" s="11"/>
      <c r="D370" s="32"/>
      <c r="I370" s="46" t="s">
        <v>840</v>
      </c>
      <c r="J370" s="47">
        <v>3</v>
      </c>
      <c r="K370" s="48" t="s">
        <v>3</v>
      </c>
      <c r="L370" s="11"/>
      <c r="O370" s="34"/>
      <c r="P370" s="35"/>
    </row>
    <row r="371" spans="3:16" x14ac:dyDescent="0.25">
      <c r="C371" s="11"/>
      <c r="D371" s="32"/>
      <c r="I371" s="46" t="s">
        <v>841</v>
      </c>
      <c r="J371" s="47">
        <v>1</v>
      </c>
      <c r="K371" s="48"/>
      <c r="L371" s="11"/>
      <c r="O371" s="34"/>
      <c r="P371" s="35"/>
    </row>
    <row r="372" spans="3:16" x14ac:dyDescent="0.25">
      <c r="C372" s="11"/>
      <c r="D372" s="32"/>
      <c r="I372" s="46" t="s">
        <v>842</v>
      </c>
      <c r="J372" s="47">
        <v>1</v>
      </c>
      <c r="K372" s="48"/>
      <c r="L372" s="11"/>
      <c r="O372" s="34"/>
      <c r="P372" s="35"/>
    </row>
    <row r="373" spans="3:16" x14ac:dyDescent="0.25">
      <c r="C373" s="11"/>
      <c r="D373" s="32"/>
      <c r="I373" s="46" t="s">
        <v>843</v>
      </c>
      <c r="J373" s="47">
        <v>1</v>
      </c>
      <c r="K373" s="48"/>
      <c r="L373" s="11"/>
      <c r="O373" s="34"/>
      <c r="P373" s="35"/>
    </row>
    <row r="374" spans="3:16" x14ac:dyDescent="0.25">
      <c r="C374" s="11"/>
      <c r="D374" s="32"/>
      <c r="I374" s="46" t="s">
        <v>844</v>
      </c>
      <c r="J374" s="47">
        <v>1</v>
      </c>
      <c r="K374" s="48"/>
      <c r="L374" s="11"/>
      <c r="O374" s="34"/>
      <c r="P374" s="35"/>
    </row>
    <row r="375" spans="3:16" x14ac:dyDescent="0.25">
      <c r="C375" s="11"/>
      <c r="D375" s="32"/>
      <c r="I375" s="46" t="s">
        <v>845</v>
      </c>
      <c r="J375" s="47">
        <v>1</v>
      </c>
      <c r="K375" s="48"/>
      <c r="L375" s="11"/>
      <c r="O375" s="34"/>
      <c r="P375" s="35"/>
    </row>
    <row r="376" spans="3:16" x14ac:dyDescent="0.25">
      <c r="C376" s="11"/>
      <c r="D376" s="32"/>
      <c r="I376" s="46" t="s">
        <v>846</v>
      </c>
      <c r="J376" s="47">
        <v>1</v>
      </c>
      <c r="K376" s="48"/>
      <c r="L376" s="11"/>
      <c r="O376" s="34"/>
      <c r="P376" s="35"/>
    </row>
    <row r="377" spans="3:16" x14ac:dyDescent="0.25">
      <c r="C377" s="11"/>
      <c r="D377" s="32"/>
      <c r="I377" s="46" t="s">
        <v>847</v>
      </c>
      <c r="J377" s="47">
        <v>1</v>
      </c>
      <c r="K377" s="48"/>
      <c r="L377" s="11"/>
      <c r="O377" s="34"/>
      <c r="P377" s="35"/>
    </row>
    <row r="378" spans="3:16" x14ac:dyDescent="0.25">
      <c r="C378" s="11"/>
      <c r="D378" s="32"/>
      <c r="I378" s="46" t="s">
        <v>337</v>
      </c>
      <c r="J378" s="47">
        <v>3</v>
      </c>
      <c r="K378" s="48" t="s">
        <v>3</v>
      </c>
      <c r="L378" s="11"/>
      <c r="O378" s="34"/>
      <c r="P378" s="35"/>
    </row>
    <row r="379" spans="3:16" x14ac:dyDescent="0.25">
      <c r="C379" s="11"/>
      <c r="D379" s="32"/>
      <c r="I379" s="46" t="s">
        <v>848</v>
      </c>
      <c r="J379" s="47">
        <v>1</v>
      </c>
      <c r="K379" s="48"/>
      <c r="L379" s="11"/>
      <c r="O379" s="34"/>
      <c r="P379" s="35"/>
    </row>
    <row r="380" spans="3:16" x14ac:dyDescent="0.25">
      <c r="C380" s="11"/>
      <c r="D380" s="32"/>
      <c r="I380" s="46" t="s">
        <v>849</v>
      </c>
      <c r="J380" s="47">
        <v>1</v>
      </c>
      <c r="K380" s="48"/>
      <c r="L380" s="11"/>
      <c r="O380" s="34"/>
      <c r="P380" s="35"/>
    </row>
    <row r="381" spans="3:16" x14ac:dyDescent="0.25">
      <c r="C381" s="11"/>
      <c r="D381" s="32"/>
      <c r="I381" s="46" t="s">
        <v>850</v>
      </c>
      <c r="J381" s="47">
        <v>3</v>
      </c>
      <c r="K381" s="48" t="s">
        <v>3</v>
      </c>
      <c r="L381" s="11"/>
      <c r="O381" s="34"/>
      <c r="P381" s="35"/>
    </row>
    <row r="382" spans="3:16" x14ac:dyDescent="0.25">
      <c r="C382" s="11"/>
      <c r="D382" s="32"/>
      <c r="I382" s="46" t="s">
        <v>851</v>
      </c>
      <c r="J382" s="47">
        <v>3</v>
      </c>
      <c r="K382" s="48" t="s">
        <v>3</v>
      </c>
      <c r="L382" s="11"/>
      <c r="O382" s="34"/>
      <c r="P382" s="35"/>
    </row>
    <row r="383" spans="3:16" x14ac:dyDescent="0.25">
      <c r="C383" s="11"/>
      <c r="D383" s="32"/>
      <c r="I383" s="46" t="s">
        <v>852</v>
      </c>
      <c r="J383" s="47">
        <v>3</v>
      </c>
      <c r="K383" s="48" t="s">
        <v>3</v>
      </c>
      <c r="L383" s="11"/>
      <c r="O383" s="34"/>
      <c r="P383" s="35"/>
    </row>
    <row r="384" spans="3:16" x14ac:dyDescent="0.25">
      <c r="C384" s="11"/>
      <c r="D384" s="32"/>
      <c r="I384" s="46" t="s">
        <v>853</v>
      </c>
      <c r="J384" s="47">
        <v>3</v>
      </c>
      <c r="K384" s="48" t="s">
        <v>3</v>
      </c>
      <c r="L384" s="11"/>
      <c r="O384" s="34"/>
      <c r="P384" s="35"/>
    </row>
    <row r="385" spans="3:16" x14ac:dyDescent="0.25">
      <c r="C385" s="11"/>
      <c r="D385" s="32"/>
      <c r="I385" s="46" t="s">
        <v>854</v>
      </c>
      <c r="J385" s="47">
        <v>3</v>
      </c>
      <c r="K385" s="48" t="s">
        <v>3</v>
      </c>
      <c r="L385" s="11"/>
      <c r="O385" s="34"/>
      <c r="P385" s="35"/>
    </row>
    <row r="386" spans="3:16" x14ac:dyDescent="0.25">
      <c r="C386" s="11"/>
      <c r="D386" s="32"/>
      <c r="I386" s="46" t="s">
        <v>855</v>
      </c>
      <c r="J386" s="47">
        <v>1</v>
      </c>
      <c r="K386" s="48"/>
      <c r="L386" s="11"/>
      <c r="O386" s="34"/>
      <c r="P386" s="35"/>
    </row>
    <row r="387" spans="3:16" x14ac:dyDescent="0.25">
      <c r="C387" s="11"/>
      <c r="D387" s="32"/>
      <c r="I387" s="46" t="s">
        <v>856</v>
      </c>
      <c r="J387" s="47">
        <v>1</v>
      </c>
      <c r="K387" s="48"/>
      <c r="L387" s="11"/>
      <c r="O387" s="34"/>
      <c r="P387" s="35"/>
    </row>
    <row r="388" spans="3:16" x14ac:dyDescent="0.25">
      <c r="C388" s="11"/>
      <c r="D388" s="32"/>
      <c r="I388" s="46" t="s">
        <v>857</v>
      </c>
      <c r="J388" s="47">
        <v>1</v>
      </c>
      <c r="K388" s="48"/>
      <c r="L388" s="11"/>
      <c r="O388" s="34"/>
      <c r="P388" s="35"/>
    </row>
    <row r="389" spans="3:16" x14ac:dyDescent="0.25">
      <c r="C389" s="11"/>
      <c r="D389" s="32"/>
      <c r="I389" s="46" t="s">
        <v>858</v>
      </c>
      <c r="J389" s="47">
        <v>1</v>
      </c>
      <c r="K389" s="48"/>
      <c r="L389" s="11"/>
      <c r="O389" s="34"/>
      <c r="P389" s="35"/>
    </row>
    <row r="390" spans="3:16" x14ac:dyDescent="0.25">
      <c r="C390" s="11"/>
      <c r="D390" s="32"/>
      <c r="I390" s="46" t="s">
        <v>859</v>
      </c>
      <c r="J390" s="47">
        <v>1</v>
      </c>
      <c r="K390" s="48"/>
      <c r="L390" s="11"/>
      <c r="O390" s="34"/>
      <c r="P390" s="35"/>
    </row>
    <row r="391" spans="3:16" x14ac:dyDescent="0.25">
      <c r="C391" s="11"/>
      <c r="D391" s="32"/>
      <c r="I391" s="46" t="s">
        <v>860</v>
      </c>
      <c r="J391" s="47">
        <v>1</v>
      </c>
      <c r="K391" s="48"/>
      <c r="L391" s="11"/>
      <c r="O391" s="34"/>
      <c r="P391" s="35"/>
    </row>
    <row r="392" spans="3:16" x14ac:dyDescent="0.25">
      <c r="C392" s="11"/>
      <c r="D392" s="32"/>
      <c r="I392" s="46" t="s">
        <v>861</v>
      </c>
      <c r="J392" s="47">
        <v>1</v>
      </c>
      <c r="K392" s="48"/>
      <c r="L392" s="11"/>
      <c r="O392" s="34"/>
      <c r="P392" s="35"/>
    </row>
    <row r="393" spans="3:16" x14ac:dyDescent="0.25">
      <c r="C393" s="11"/>
      <c r="D393" s="32"/>
      <c r="I393" s="46" t="s">
        <v>862</v>
      </c>
      <c r="J393" s="47">
        <v>1</v>
      </c>
      <c r="K393" s="48"/>
      <c r="L393" s="11"/>
      <c r="O393" s="34"/>
      <c r="P393" s="35"/>
    </row>
    <row r="394" spans="3:16" x14ac:dyDescent="0.25">
      <c r="C394" s="11"/>
      <c r="D394" s="32"/>
      <c r="I394" s="46" t="s">
        <v>863</v>
      </c>
      <c r="J394" s="47">
        <v>1</v>
      </c>
      <c r="K394" s="48"/>
      <c r="L394" s="11"/>
      <c r="O394" s="34"/>
      <c r="P394" s="35"/>
    </row>
    <row r="395" spans="3:16" x14ac:dyDescent="0.25">
      <c r="C395" s="11"/>
      <c r="D395" s="32"/>
      <c r="I395" s="46" t="s">
        <v>864</v>
      </c>
      <c r="J395" s="47">
        <v>1</v>
      </c>
      <c r="K395" s="48"/>
      <c r="L395" s="11"/>
      <c r="O395" s="34"/>
      <c r="P395" s="35"/>
    </row>
    <row r="396" spans="3:16" x14ac:dyDescent="0.25">
      <c r="C396" s="11"/>
      <c r="D396" s="32"/>
      <c r="I396" s="46" t="s">
        <v>865</v>
      </c>
      <c r="J396" s="47">
        <v>1</v>
      </c>
      <c r="K396" s="48"/>
      <c r="L396" s="11"/>
      <c r="O396" s="34"/>
      <c r="P396" s="35"/>
    </row>
    <row r="397" spans="3:16" x14ac:dyDescent="0.25">
      <c r="C397" s="11"/>
      <c r="D397" s="32"/>
      <c r="I397" s="46" t="s">
        <v>866</v>
      </c>
      <c r="J397" s="47">
        <v>1</v>
      </c>
      <c r="K397" s="48"/>
      <c r="L397" s="11"/>
      <c r="O397" s="34"/>
      <c r="P397" s="35"/>
    </row>
    <row r="398" spans="3:16" x14ac:dyDescent="0.25">
      <c r="C398" s="11"/>
      <c r="D398" s="32"/>
      <c r="I398" s="46" t="s">
        <v>867</v>
      </c>
      <c r="J398" s="47">
        <v>1</v>
      </c>
      <c r="K398" s="48"/>
      <c r="L398" s="11"/>
      <c r="O398" s="34"/>
      <c r="P398" s="35"/>
    </row>
    <row r="399" spans="3:16" x14ac:dyDescent="0.25">
      <c r="C399" s="11"/>
      <c r="D399" s="32"/>
      <c r="I399" s="46" t="s">
        <v>868</v>
      </c>
      <c r="J399" s="47">
        <v>1</v>
      </c>
      <c r="K399" s="48"/>
      <c r="L399" s="11"/>
      <c r="O399" s="34"/>
      <c r="P399" s="35"/>
    </row>
    <row r="400" spans="3:16" x14ac:dyDescent="0.25">
      <c r="C400" s="11"/>
      <c r="D400" s="32"/>
      <c r="I400" s="46" t="s">
        <v>869</v>
      </c>
      <c r="J400" s="47">
        <v>1</v>
      </c>
      <c r="K400" s="48"/>
      <c r="L400" s="11"/>
      <c r="O400" s="34"/>
      <c r="P400" s="35"/>
    </row>
    <row r="401" spans="3:16" x14ac:dyDescent="0.25">
      <c r="C401" s="11"/>
      <c r="D401" s="32"/>
      <c r="I401" s="46" t="s">
        <v>870</v>
      </c>
      <c r="J401" s="47">
        <v>1</v>
      </c>
      <c r="K401" s="48"/>
      <c r="L401" s="11"/>
      <c r="O401" s="34"/>
      <c r="P401" s="35"/>
    </row>
    <row r="402" spans="3:16" x14ac:dyDescent="0.25">
      <c r="C402" s="11"/>
      <c r="D402" s="32"/>
      <c r="I402" s="46" t="s">
        <v>871</v>
      </c>
      <c r="J402" s="47">
        <v>1</v>
      </c>
      <c r="K402" s="48"/>
      <c r="L402" s="11"/>
      <c r="O402" s="34"/>
      <c r="P402" s="35"/>
    </row>
    <row r="403" spans="3:16" x14ac:dyDescent="0.25">
      <c r="C403" s="11"/>
      <c r="D403" s="32"/>
      <c r="I403" s="46" t="s">
        <v>872</v>
      </c>
      <c r="J403" s="47">
        <v>2</v>
      </c>
      <c r="K403" s="48"/>
      <c r="L403" s="11"/>
      <c r="O403" s="34"/>
      <c r="P403" s="35"/>
    </row>
    <row r="404" spans="3:16" x14ac:dyDescent="0.25">
      <c r="C404" s="11"/>
      <c r="D404" s="32"/>
      <c r="I404" s="46" t="s">
        <v>338</v>
      </c>
      <c r="J404" s="47">
        <v>1</v>
      </c>
      <c r="K404" s="48"/>
      <c r="L404" s="11"/>
      <c r="O404" s="34"/>
      <c r="P404" s="35"/>
    </row>
    <row r="405" spans="3:16" x14ac:dyDescent="0.25">
      <c r="C405" s="11"/>
      <c r="D405" s="32"/>
      <c r="I405" s="46" t="s">
        <v>339</v>
      </c>
      <c r="J405" s="47">
        <v>3</v>
      </c>
      <c r="K405" s="48"/>
      <c r="L405" s="11"/>
      <c r="O405" s="34"/>
      <c r="P405" s="35"/>
    </row>
    <row r="406" spans="3:16" x14ac:dyDescent="0.25">
      <c r="C406" s="11"/>
      <c r="D406" s="32"/>
      <c r="I406" s="46" t="s">
        <v>873</v>
      </c>
      <c r="J406" s="47">
        <v>2</v>
      </c>
      <c r="K406" s="48"/>
      <c r="L406" s="11"/>
      <c r="O406" s="34"/>
      <c r="P406" s="35"/>
    </row>
    <row r="407" spans="3:16" x14ac:dyDescent="0.25">
      <c r="C407" s="11"/>
      <c r="D407" s="32"/>
      <c r="I407" s="46" t="s">
        <v>874</v>
      </c>
      <c r="J407" s="47">
        <v>1</v>
      </c>
      <c r="K407" s="48"/>
      <c r="L407" s="11"/>
      <c r="O407" s="34"/>
      <c r="P407" s="35"/>
    </row>
    <row r="408" spans="3:16" x14ac:dyDescent="0.25">
      <c r="C408" s="11"/>
      <c r="D408" s="32"/>
      <c r="I408" s="46" t="s">
        <v>875</v>
      </c>
      <c r="J408" s="47">
        <v>1</v>
      </c>
      <c r="K408" s="48"/>
      <c r="L408" s="11"/>
      <c r="O408" s="34"/>
      <c r="P408" s="35"/>
    </row>
    <row r="409" spans="3:16" x14ac:dyDescent="0.25">
      <c r="C409" s="11"/>
      <c r="D409" s="32"/>
      <c r="I409" s="46" t="s">
        <v>876</v>
      </c>
      <c r="J409" s="47">
        <v>1</v>
      </c>
      <c r="K409" s="48"/>
      <c r="L409" s="11"/>
      <c r="O409" s="34"/>
      <c r="P409" s="35"/>
    </row>
    <row r="410" spans="3:16" x14ac:dyDescent="0.25">
      <c r="C410" s="11"/>
      <c r="D410" s="32"/>
      <c r="I410" s="46" t="s">
        <v>877</v>
      </c>
      <c r="J410" s="47">
        <v>2</v>
      </c>
      <c r="K410" s="48"/>
      <c r="L410" s="11"/>
      <c r="O410" s="34"/>
      <c r="P410" s="35"/>
    </row>
    <row r="411" spans="3:16" x14ac:dyDescent="0.25">
      <c r="C411" s="11"/>
      <c r="D411" s="32"/>
      <c r="I411" s="46" t="s">
        <v>878</v>
      </c>
      <c r="J411" s="47">
        <v>2</v>
      </c>
      <c r="K411" s="48"/>
      <c r="L411" s="11"/>
      <c r="O411" s="34"/>
      <c r="P411" s="35"/>
    </row>
    <row r="412" spans="3:16" x14ac:dyDescent="0.25">
      <c r="C412" s="11"/>
      <c r="D412" s="32"/>
      <c r="I412" s="46" t="s">
        <v>879</v>
      </c>
      <c r="J412" s="47">
        <v>1</v>
      </c>
      <c r="K412" s="48"/>
      <c r="L412" s="11"/>
      <c r="O412" s="34"/>
      <c r="P412" s="35"/>
    </row>
    <row r="413" spans="3:16" x14ac:dyDescent="0.25">
      <c r="C413" s="11"/>
      <c r="D413" s="32"/>
      <c r="I413" s="46" t="s">
        <v>880</v>
      </c>
      <c r="J413" s="47">
        <v>1</v>
      </c>
      <c r="K413" s="48"/>
      <c r="L413" s="11"/>
      <c r="O413" s="34"/>
      <c r="P413" s="35"/>
    </row>
    <row r="414" spans="3:16" x14ac:dyDescent="0.25">
      <c r="C414" s="11"/>
      <c r="D414" s="32"/>
      <c r="I414" s="46" t="s">
        <v>881</v>
      </c>
      <c r="J414" s="47">
        <v>1</v>
      </c>
      <c r="K414" s="48"/>
      <c r="L414" s="11"/>
      <c r="O414" s="34"/>
      <c r="P414" s="35"/>
    </row>
    <row r="415" spans="3:16" x14ac:dyDescent="0.25">
      <c r="C415" s="11"/>
      <c r="D415" s="32"/>
      <c r="I415" s="46" t="s">
        <v>882</v>
      </c>
      <c r="J415" s="47">
        <v>1</v>
      </c>
      <c r="K415" s="48"/>
      <c r="L415" s="11"/>
      <c r="O415" s="34"/>
      <c r="P415" s="35"/>
    </row>
    <row r="416" spans="3:16" x14ac:dyDescent="0.25">
      <c r="C416" s="11"/>
      <c r="D416" s="32"/>
      <c r="I416" s="46" t="s">
        <v>883</v>
      </c>
      <c r="J416" s="47">
        <v>2</v>
      </c>
      <c r="K416" s="48"/>
      <c r="L416" s="11"/>
      <c r="O416" s="34"/>
      <c r="P416" s="35"/>
    </row>
    <row r="417" spans="3:16" x14ac:dyDescent="0.25">
      <c r="C417" s="11"/>
      <c r="D417" s="32"/>
      <c r="I417" s="46" t="s">
        <v>884</v>
      </c>
      <c r="J417" s="47">
        <v>1</v>
      </c>
      <c r="K417" s="48"/>
      <c r="L417" s="11"/>
      <c r="O417" s="34"/>
      <c r="P417" s="35"/>
    </row>
    <row r="418" spans="3:16" x14ac:dyDescent="0.25">
      <c r="C418" s="11"/>
      <c r="D418" s="32"/>
      <c r="I418" s="46" t="s">
        <v>94</v>
      </c>
      <c r="J418" s="47">
        <v>1</v>
      </c>
      <c r="K418" s="48"/>
      <c r="L418" s="11"/>
      <c r="O418" s="34"/>
      <c r="P418" s="35"/>
    </row>
    <row r="419" spans="3:16" x14ac:dyDescent="0.25">
      <c r="C419" s="11"/>
      <c r="D419" s="32"/>
      <c r="I419" s="46" t="s">
        <v>885</v>
      </c>
      <c r="J419" s="47">
        <v>1</v>
      </c>
      <c r="K419" s="48"/>
      <c r="L419" s="11"/>
      <c r="O419" s="34"/>
      <c r="P419" s="35"/>
    </row>
    <row r="420" spans="3:16" x14ac:dyDescent="0.25">
      <c r="C420" s="11"/>
      <c r="D420" s="32"/>
      <c r="I420" s="46" t="s">
        <v>886</v>
      </c>
      <c r="J420" s="47">
        <v>1</v>
      </c>
      <c r="K420" s="48"/>
      <c r="L420" s="11"/>
      <c r="O420" s="34"/>
      <c r="P420" s="35"/>
    </row>
    <row r="421" spans="3:16" x14ac:dyDescent="0.25">
      <c r="C421" s="11"/>
      <c r="D421" s="32"/>
      <c r="I421" s="46" t="s">
        <v>887</v>
      </c>
      <c r="J421" s="47">
        <v>2</v>
      </c>
      <c r="K421" s="48"/>
      <c r="L421" s="11"/>
      <c r="O421" s="34"/>
      <c r="P421" s="35"/>
    </row>
    <row r="422" spans="3:16" x14ac:dyDescent="0.25">
      <c r="C422" s="11"/>
      <c r="D422" s="32"/>
      <c r="I422" s="46" t="s">
        <v>888</v>
      </c>
      <c r="J422" s="47">
        <v>1</v>
      </c>
      <c r="K422" s="48"/>
      <c r="L422" s="11"/>
      <c r="O422" s="34"/>
      <c r="P422" s="35"/>
    </row>
    <row r="423" spans="3:16" x14ac:dyDescent="0.25">
      <c r="C423" s="11"/>
      <c r="D423" s="32"/>
      <c r="I423" s="46" t="s">
        <v>889</v>
      </c>
      <c r="J423" s="47">
        <v>1</v>
      </c>
      <c r="K423" s="48"/>
      <c r="L423" s="11"/>
      <c r="O423" s="34"/>
      <c r="P423" s="35"/>
    </row>
    <row r="424" spans="3:16" x14ac:dyDescent="0.25">
      <c r="C424" s="11"/>
      <c r="D424" s="32"/>
      <c r="I424" s="46" t="s">
        <v>890</v>
      </c>
      <c r="J424" s="47">
        <v>1</v>
      </c>
      <c r="K424" s="48"/>
      <c r="L424" s="11"/>
      <c r="O424" s="34"/>
      <c r="P424" s="35"/>
    </row>
    <row r="425" spans="3:16" x14ac:dyDescent="0.25">
      <c r="C425" s="11"/>
      <c r="D425" s="32"/>
      <c r="I425" s="46" t="s">
        <v>891</v>
      </c>
      <c r="J425" s="47">
        <v>1</v>
      </c>
      <c r="K425" s="48"/>
      <c r="L425" s="11"/>
      <c r="O425" s="34"/>
      <c r="P425" s="35"/>
    </row>
    <row r="426" spans="3:16" x14ac:dyDescent="0.25">
      <c r="C426" s="11"/>
      <c r="D426" s="32"/>
      <c r="I426" s="46" t="s">
        <v>892</v>
      </c>
      <c r="J426" s="47">
        <v>1</v>
      </c>
      <c r="K426" s="48"/>
      <c r="L426" s="11"/>
      <c r="O426" s="34"/>
      <c r="P426" s="35"/>
    </row>
    <row r="427" spans="3:16" x14ac:dyDescent="0.25">
      <c r="C427" s="11"/>
      <c r="D427" s="32"/>
      <c r="I427" s="46" t="s">
        <v>893</v>
      </c>
      <c r="J427" s="47">
        <v>1</v>
      </c>
      <c r="K427" s="48"/>
      <c r="L427" s="11"/>
      <c r="O427" s="34"/>
      <c r="P427" s="35"/>
    </row>
    <row r="428" spans="3:16" x14ac:dyDescent="0.25">
      <c r="C428" s="11"/>
      <c r="D428" s="32"/>
      <c r="I428" s="46" t="s">
        <v>894</v>
      </c>
      <c r="J428" s="47">
        <v>1</v>
      </c>
      <c r="K428" s="48"/>
      <c r="L428" s="11"/>
      <c r="O428" s="34"/>
      <c r="P428" s="35"/>
    </row>
    <row r="429" spans="3:16" x14ac:dyDescent="0.25">
      <c r="C429" s="11"/>
      <c r="D429" s="32"/>
      <c r="I429" s="46" t="s">
        <v>895</v>
      </c>
      <c r="J429" s="47">
        <v>1</v>
      </c>
      <c r="K429" s="48"/>
      <c r="L429" s="11"/>
      <c r="O429" s="34"/>
      <c r="P429" s="35"/>
    </row>
    <row r="430" spans="3:16" x14ac:dyDescent="0.25">
      <c r="C430" s="11"/>
      <c r="D430" s="32"/>
      <c r="I430" s="46" t="s">
        <v>896</v>
      </c>
      <c r="J430" s="47">
        <v>2</v>
      </c>
      <c r="K430" s="48"/>
      <c r="L430" s="11"/>
      <c r="O430" s="34"/>
      <c r="P430" s="35"/>
    </row>
    <row r="431" spans="3:16" x14ac:dyDescent="0.25">
      <c r="C431" s="11"/>
      <c r="D431" s="32"/>
      <c r="I431" s="46" t="s">
        <v>897</v>
      </c>
      <c r="J431" s="47">
        <v>3</v>
      </c>
      <c r="K431" s="48"/>
      <c r="L431" s="11"/>
      <c r="O431" s="34"/>
      <c r="P431" s="35"/>
    </row>
    <row r="432" spans="3:16" x14ac:dyDescent="0.25">
      <c r="C432" s="11"/>
      <c r="D432" s="32"/>
      <c r="I432" s="46" t="s">
        <v>898</v>
      </c>
      <c r="J432" s="47">
        <v>3</v>
      </c>
      <c r="K432" s="48"/>
      <c r="L432" s="11"/>
      <c r="O432" s="34"/>
      <c r="P432" s="35"/>
    </row>
    <row r="433" spans="3:16" x14ac:dyDescent="0.25">
      <c r="C433" s="11"/>
      <c r="D433" s="32"/>
      <c r="I433" s="46" t="s">
        <v>899</v>
      </c>
      <c r="J433" s="47">
        <v>1</v>
      </c>
      <c r="K433" s="48"/>
      <c r="L433" s="11"/>
      <c r="O433" s="34"/>
      <c r="P433" s="35"/>
    </row>
    <row r="434" spans="3:16" x14ac:dyDescent="0.25">
      <c r="C434" s="11"/>
      <c r="D434" s="32"/>
      <c r="I434" s="46" t="s">
        <v>900</v>
      </c>
      <c r="J434" s="47">
        <v>1</v>
      </c>
      <c r="K434" s="48"/>
      <c r="L434" s="11"/>
      <c r="O434" s="34"/>
      <c r="P434" s="35"/>
    </row>
    <row r="435" spans="3:16" x14ac:dyDescent="0.25">
      <c r="C435" s="11"/>
      <c r="D435" s="32"/>
      <c r="I435" s="46" t="s">
        <v>901</v>
      </c>
      <c r="J435" s="47">
        <v>1</v>
      </c>
      <c r="K435" s="48"/>
      <c r="L435" s="11"/>
      <c r="O435" s="34"/>
      <c r="P435" s="35"/>
    </row>
    <row r="436" spans="3:16" x14ac:dyDescent="0.25">
      <c r="C436" s="11"/>
      <c r="D436" s="32"/>
      <c r="I436" s="46" t="s">
        <v>902</v>
      </c>
      <c r="J436" s="47">
        <v>1</v>
      </c>
      <c r="K436" s="48"/>
      <c r="L436" s="11"/>
      <c r="O436" s="34"/>
      <c r="P436" s="35"/>
    </row>
    <row r="437" spans="3:16" x14ac:dyDescent="0.25">
      <c r="C437" s="11"/>
      <c r="D437" s="32"/>
      <c r="I437" s="46" t="s">
        <v>903</v>
      </c>
      <c r="J437" s="47">
        <v>1</v>
      </c>
      <c r="K437" s="48"/>
      <c r="L437" s="11"/>
      <c r="O437" s="34"/>
      <c r="P437" s="35"/>
    </row>
    <row r="438" spans="3:16" x14ac:dyDescent="0.25">
      <c r="C438" s="11"/>
      <c r="D438" s="32"/>
      <c r="I438" s="46" t="s">
        <v>904</v>
      </c>
      <c r="J438" s="47">
        <v>1</v>
      </c>
      <c r="K438" s="48"/>
      <c r="L438" s="11"/>
      <c r="O438" s="34"/>
      <c r="P438" s="35"/>
    </row>
    <row r="439" spans="3:16" x14ac:dyDescent="0.25">
      <c r="C439" s="11"/>
      <c r="D439" s="32"/>
      <c r="I439" s="46" t="s">
        <v>905</v>
      </c>
      <c r="J439" s="47">
        <v>2</v>
      </c>
      <c r="K439" s="48"/>
      <c r="L439" s="11"/>
      <c r="O439" s="34"/>
      <c r="P439" s="35"/>
    </row>
    <row r="440" spans="3:16" x14ac:dyDescent="0.25">
      <c r="C440" s="11"/>
      <c r="D440" s="32"/>
      <c r="I440" s="46" t="s">
        <v>906</v>
      </c>
      <c r="J440" s="47">
        <v>1</v>
      </c>
      <c r="K440" s="48"/>
      <c r="L440" s="11"/>
      <c r="O440" s="34"/>
      <c r="P440" s="35"/>
    </row>
    <row r="441" spans="3:16" x14ac:dyDescent="0.25">
      <c r="C441" s="11"/>
      <c r="D441" s="32"/>
      <c r="I441" s="46" t="s">
        <v>907</v>
      </c>
      <c r="J441" s="47">
        <v>1</v>
      </c>
      <c r="K441" s="48"/>
      <c r="L441" s="11"/>
      <c r="O441" s="34"/>
      <c r="P441" s="35"/>
    </row>
    <row r="442" spans="3:16" x14ac:dyDescent="0.25">
      <c r="C442" s="11"/>
      <c r="D442" s="32"/>
      <c r="I442" s="46" t="s">
        <v>908</v>
      </c>
      <c r="J442" s="47">
        <v>1</v>
      </c>
      <c r="K442" s="48"/>
      <c r="L442" s="11"/>
      <c r="O442" s="34"/>
      <c r="P442" s="35"/>
    </row>
    <row r="443" spans="3:16" x14ac:dyDescent="0.25">
      <c r="C443" s="11"/>
      <c r="D443" s="32"/>
      <c r="I443" s="46" t="s">
        <v>909</v>
      </c>
      <c r="J443" s="47">
        <v>2</v>
      </c>
      <c r="K443" s="48"/>
      <c r="L443" s="11"/>
      <c r="O443" s="34"/>
      <c r="P443" s="35"/>
    </row>
    <row r="444" spans="3:16" x14ac:dyDescent="0.25">
      <c r="C444" s="11"/>
      <c r="D444" s="32"/>
      <c r="I444" s="46" t="s">
        <v>910</v>
      </c>
      <c r="J444" s="47">
        <v>3</v>
      </c>
      <c r="K444" s="48"/>
      <c r="L444" s="11"/>
      <c r="O444" s="34"/>
      <c r="P444" s="35"/>
    </row>
    <row r="445" spans="3:16" x14ac:dyDescent="0.25">
      <c r="C445" s="11"/>
      <c r="D445" s="32"/>
      <c r="I445" s="46" t="s">
        <v>911</v>
      </c>
      <c r="J445" s="47">
        <v>1</v>
      </c>
      <c r="K445" s="48"/>
      <c r="L445" s="11"/>
      <c r="O445" s="34"/>
      <c r="P445" s="35"/>
    </row>
    <row r="446" spans="3:16" x14ac:dyDescent="0.25">
      <c r="C446" s="11"/>
      <c r="D446" s="32"/>
      <c r="I446" s="46" t="s">
        <v>912</v>
      </c>
      <c r="J446" s="47">
        <v>3</v>
      </c>
      <c r="K446" s="48"/>
      <c r="L446" s="11"/>
      <c r="O446" s="34"/>
      <c r="P446" s="35"/>
    </row>
    <row r="447" spans="3:16" x14ac:dyDescent="0.25">
      <c r="C447" s="11"/>
      <c r="D447" s="32"/>
      <c r="I447" s="46" t="s">
        <v>913</v>
      </c>
      <c r="J447" s="47">
        <v>1</v>
      </c>
      <c r="K447" s="48"/>
      <c r="L447" s="11"/>
      <c r="O447" s="34"/>
      <c r="P447" s="35"/>
    </row>
    <row r="448" spans="3:16" x14ac:dyDescent="0.25">
      <c r="C448" s="11"/>
      <c r="D448" s="32"/>
      <c r="I448" s="46" t="s">
        <v>914</v>
      </c>
      <c r="J448" s="47">
        <v>3</v>
      </c>
      <c r="K448" s="48"/>
      <c r="L448" s="11"/>
      <c r="O448" s="34"/>
      <c r="P448" s="35"/>
    </row>
    <row r="449" spans="3:16" x14ac:dyDescent="0.25">
      <c r="C449" s="11"/>
      <c r="D449" s="32"/>
      <c r="I449" s="46" t="s">
        <v>915</v>
      </c>
      <c r="J449" s="47">
        <v>1</v>
      </c>
      <c r="K449" s="48"/>
      <c r="L449" s="11"/>
      <c r="O449" s="34"/>
      <c r="P449" s="35"/>
    </row>
    <row r="450" spans="3:16" x14ac:dyDescent="0.25">
      <c r="C450" s="11"/>
      <c r="D450" s="32"/>
      <c r="I450" s="46" t="s">
        <v>916</v>
      </c>
      <c r="J450" s="47">
        <v>1</v>
      </c>
      <c r="K450" s="48"/>
      <c r="L450" s="11"/>
      <c r="O450" s="34"/>
      <c r="P450" s="35"/>
    </row>
    <row r="451" spans="3:16" x14ac:dyDescent="0.25">
      <c r="C451" s="11"/>
      <c r="D451" s="32"/>
      <c r="I451" s="46" t="s">
        <v>917</v>
      </c>
      <c r="J451" s="47">
        <v>3</v>
      </c>
      <c r="K451" s="48"/>
      <c r="L451" s="11"/>
      <c r="O451" s="34"/>
      <c r="P451" s="35"/>
    </row>
    <row r="452" spans="3:16" x14ac:dyDescent="0.25">
      <c r="C452" s="11"/>
      <c r="D452" s="32"/>
      <c r="I452" s="46" t="s">
        <v>918</v>
      </c>
      <c r="J452" s="47">
        <v>2</v>
      </c>
      <c r="K452" s="48"/>
      <c r="L452" s="11"/>
      <c r="O452" s="34"/>
      <c r="P452" s="35"/>
    </row>
    <row r="453" spans="3:16" x14ac:dyDescent="0.25">
      <c r="C453" s="11"/>
      <c r="D453" s="32"/>
      <c r="I453" s="46" t="s">
        <v>919</v>
      </c>
      <c r="J453" s="47">
        <v>1</v>
      </c>
      <c r="K453" s="48"/>
      <c r="L453" s="11"/>
      <c r="O453" s="34"/>
      <c r="P453" s="35"/>
    </row>
    <row r="454" spans="3:16" x14ac:dyDescent="0.25">
      <c r="C454" s="11"/>
      <c r="D454" s="32"/>
      <c r="I454" s="46" t="s">
        <v>340</v>
      </c>
      <c r="J454" s="47">
        <v>2</v>
      </c>
      <c r="K454" s="48"/>
      <c r="L454" s="11"/>
      <c r="O454" s="34"/>
      <c r="P454" s="35"/>
    </row>
    <row r="455" spans="3:16" x14ac:dyDescent="0.25">
      <c r="C455" s="11"/>
      <c r="D455" s="32"/>
      <c r="I455" s="46" t="s">
        <v>920</v>
      </c>
      <c r="J455" s="47">
        <v>1</v>
      </c>
      <c r="K455" s="48"/>
      <c r="L455" s="11"/>
      <c r="O455" s="34"/>
      <c r="P455" s="35"/>
    </row>
    <row r="456" spans="3:16" x14ac:dyDescent="0.25">
      <c r="C456" s="11"/>
      <c r="D456" s="32"/>
      <c r="I456" s="46" t="s">
        <v>921</v>
      </c>
      <c r="J456" s="47">
        <v>3</v>
      </c>
      <c r="K456" s="48" t="s">
        <v>3</v>
      </c>
      <c r="L456" s="11"/>
      <c r="O456" s="34"/>
      <c r="P456" s="35"/>
    </row>
    <row r="457" spans="3:16" x14ac:dyDescent="0.25">
      <c r="C457" s="11"/>
      <c r="D457" s="32"/>
      <c r="I457" s="46" t="s">
        <v>922</v>
      </c>
      <c r="J457" s="47">
        <v>1</v>
      </c>
      <c r="K457" s="48"/>
      <c r="L457" s="11"/>
      <c r="O457" s="34"/>
      <c r="P457" s="35"/>
    </row>
    <row r="458" spans="3:16" x14ac:dyDescent="0.25">
      <c r="C458" s="11"/>
      <c r="D458" s="32"/>
      <c r="I458" s="46" t="s">
        <v>923</v>
      </c>
      <c r="J458" s="47">
        <v>2</v>
      </c>
      <c r="K458" s="48"/>
      <c r="L458" s="11"/>
      <c r="O458" s="34"/>
      <c r="P458" s="35"/>
    </row>
    <row r="459" spans="3:16" x14ac:dyDescent="0.25">
      <c r="C459" s="11"/>
      <c r="D459" s="32"/>
      <c r="I459" s="46" t="s">
        <v>924</v>
      </c>
      <c r="J459" s="47">
        <v>1</v>
      </c>
      <c r="K459" s="48"/>
      <c r="L459" s="11"/>
      <c r="O459" s="34"/>
      <c r="P459" s="35"/>
    </row>
    <row r="460" spans="3:16" x14ac:dyDescent="0.25">
      <c r="C460" s="11"/>
      <c r="D460" s="32"/>
      <c r="I460" s="46" t="s">
        <v>925</v>
      </c>
      <c r="J460" s="47">
        <v>1</v>
      </c>
      <c r="K460" s="48"/>
      <c r="L460" s="11"/>
      <c r="O460" s="34"/>
      <c r="P460" s="35"/>
    </row>
    <row r="461" spans="3:16" x14ac:dyDescent="0.25">
      <c r="C461" s="11"/>
      <c r="D461" s="32"/>
      <c r="I461" s="46" t="s">
        <v>926</v>
      </c>
      <c r="J461" s="47">
        <v>1</v>
      </c>
      <c r="K461" s="48"/>
      <c r="L461" s="11"/>
      <c r="O461" s="34"/>
      <c r="P461" s="35"/>
    </row>
    <row r="462" spans="3:16" x14ac:dyDescent="0.25">
      <c r="C462" s="11"/>
      <c r="D462" s="32"/>
      <c r="I462" s="46" t="s">
        <v>927</v>
      </c>
      <c r="J462" s="47">
        <v>1</v>
      </c>
      <c r="K462" s="48"/>
      <c r="L462" s="11"/>
      <c r="O462" s="34"/>
      <c r="P462" s="35"/>
    </row>
    <row r="463" spans="3:16" x14ac:dyDescent="0.25">
      <c r="C463" s="11"/>
      <c r="D463" s="32"/>
      <c r="I463" s="46" t="s">
        <v>928</v>
      </c>
      <c r="J463" s="47">
        <v>1</v>
      </c>
      <c r="K463" s="48"/>
      <c r="L463" s="11"/>
      <c r="O463" s="34"/>
      <c r="P463" s="35"/>
    </row>
    <row r="464" spans="3:16" x14ac:dyDescent="0.25">
      <c r="C464" s="11"/>
      <c r="D464" s="32"/>
      <c r="I464" s="46" t="s">
        <v>929</v>
      </c>
      <c r="J464" s="47">
        <v>1</v>
      </c>
      <c r="K464" s="48"/>
      <c r="L464" s="11"/>
      <c r="O464" s="34"/>
      <c r="P464" s="35"/>
    </row>
    <row r="465" spans="3:16" x14ac:dyDescent="0.25">
      <c r="C465" s="11"/>
      <c r="D465" s="32"/>
      <c r="I465" s="46" t="s">
        <v>1210</v>
      </c>
      <c r="J465" s="47">
        <v>1</v>
      </c>
      <c r="K465" s="48"/>
      <c r="L465" s="11"/>
      <c r="O465" s="34"/>
      <c r="P465" s="35"/>
    </row>
    <row r="466" spans="3:16" x14ac:dyDescent="0.25">
      <c r="C466" s="11"/>
      <c r="D466" s="32"/>
      <c r="I466" s="46" t="s">
        <v>1211</v>
      </c>
      <c r="J466" s="47">
        <v>1</v>
      </c>
      <c r="K466" s="48"/>
      <c r="L466" s="11"/>
      <c r="O466" s="34"/>
      <c r="P466" s="35"/>
    </row>
    <row r="467" spans="3:16" x14ac:dyDescent="0.25">
      <c r="C467" s="11"/>
      <c r="D467" s="32"/>
      <c r="I467" s="46" t="s">
        <v>930</v>
      </c>
      <c r="J467" s="47">
        <v>1</v>
      </c>
      <c r="K467" s="48"/>
      <c r="L467" s="11"/>
      <c r="O467" s="34"/>
      <c r="P467" s="35"/>
    </row>
    <row r="468" spans="3:16" x14ac:dyDescent="0.25">
      <c r="C468" s="11"/>
      <c r="D468" s="32"/>
      <c r="I468" s="46" t="s">
        <v>931</v>
      </c>
      <c r="J468" s="47">
        <v>1</v>
      </c>
      <c r="K468" s="48"/>
      <c r="L468" s="11"/>
      <c r="O468" s="34"/>
      <c r="P468" s="35"/>
    </row>
    <row r="469" spans="3:16" x14ac:dyDescent="0.25">
      <c r="C469" s="11"/>
      <c r="D469" s="32"/>
      <c r="I469" s="46" t="s">
        <v>932</v>
      </c>
      <c r="J469" s="47">
        <v>1</v>
      </c>
      <c r="K469" s="48"/>
      <c r="L469" s="11"/>
      <c r="O469" s="34"/>
      <c r="P469" s="35"/>
    </row>
    <row r="470" spans="3:16" x14ac:dyDescent="0.25">
      <c r="C470" s="11"/>
      <c r="D470" s="32"/>
      <c r="I470" s="46" t="s">
        <v>933</v>
      </c>
      <c r="J470" s="47">
        <v>1</v>
      </c>
      <c r="K470" s="48"/>
      <c r="L470" s="11"/>
      <c r="O470" s="34"/>
      <c r="P470" s="35"/>
    </row>
    <row r="471" spans="3:16" x14ac:dyDescent="0.25">
      <c r="C471" s="11"/>
      <c r="D471" s="32"/>
      <c r="I471" s="46" t="s">
        <v>934</v>
      </c>
      <c r="J471" s="47">
        <v>1</v>
      </c>
      <c r="K471" s="48"/>
      <c r="L471" s="11"/>
      <c r="O471" s="34"/>
      <c r="P471" s="35"/>
    </row>
    <row r="472" spans="3:16" x14ac:dyDescent="0.25">
      <c r="C472" s="11"/>
      <c r="D472" s="32"/>
      <c r="I472" s="46" t="s">
        <v>935</v>
      </c>
      <c r="J472" s="47">
        <v>1</v>
      </c>
      <c r="K472" s="48"/>
      <c r="L472" s="11"/>
      <c r="O472" s="34"/>
      <c r="P472" s="35"/>
    </row>
    <row r="473" spans="3:16" x14ac:dyDescent="0.25">
      <c r="C473" s="11"/>
      <c r="D473" s="32"/>
      <c r="I473" s="46" t="s">
        <v>936</v>
      </c>
      <c r="J473" s="47">
        <v>1</v>
      </c>
      <c r="K473" s="48"/>
      <c r="L473" s="11"/>
      <c r="O473" s="34"/>
      <c r="P473" s="35"/>
    </row>
    <row r="474" spans="3:16" x14ac:dyDescent="0.25">
      <c r="C474" s="11"/>
      <c r="D474" s="32"/>
      <c r="I474" s="46" t="s">
        <v>312</v>
      </c>
      <c r="J474" s="47">
        <v>3</v>
      </c>
      <c r="K474" s="48"/>
      <c r="L474" s="11"/>
      <c r="O474" s="34"/>
      <c r="P474" s="35"/>
    </row>
    <row r="475" spans="3:16" x14ac:dyDescent="0.25">
      <c r="C475" s="11"/>
      <c r="D475" s="32"/>
      <c r="I475" s="46" t="s">
        <v>937</v>
      </c>
      <c r="J475" s="47">
        <v>1</v>
      </c>
      <c r="K475" s="48"/>
      <c r="L475" s="11"/>
      <c r="O475" s="34"/>
      <c r="P475" s="35"/>
    </row>
    <row r="476" spans="3:16" x14ac:dyDescent="0.25">
      <c r="C476" s="11"/>
      <c r="D476" s="32"/>
      <c r="I476" s="46" t="s">
        <v>938</v>
      </c>
      <c r="J476" s="47">
        <v>1</v>
      </c>
      <c r="K476" s="48"/>
      <c r="L476" s="11"/>
      <c r="O476" s="34"/>
      <c r="P476" s="35"/>
    </row>
    <row r="477" spans="3:16" x14ac:dyDescent="0.25">
      <c r="C477" s="11"/>
      <c r="D477" s="32"/>
      <c r="I477" s="46" t="s">
        <v>939</v>
      </c>
      <c r="J477" s="47">
        <v>3</v>
      </c>
      <c r="K477" s="48"/>
      <c r="L477" s="11"/>
      <c r="O477" s="34"/>
      <c r="P477" s="35"/>
    </row>
    <row r="478" spans="3:16" x14ac:dyDescent="0.25">
      <c r="C478" s="11"/>
      <c r="D478" s="32"/>
      <c r="I478" s="46" t="s">
        <v>940</v>
      </c>
      <c r="J478" s="47">
        <v>3</v>
      </c>
      <c r="K478" s="48"/>
      <c r="L478" s="11"/>
      <c r="O478" s="34"/>
      <c r="P478" s="35"/>
    </row>
    <row r="479" spans="3:16" x14ac:dyDescent="0.25">
      <c r="C479" s="11"/>
      <c r="D479" s="32"/>
      <c r="I479" s="46" t="s">
        <v>941</v>
      </c>
      <c r="J479" s="47">
        <v>1</v>
      </c>
      <c r="K479" s="48"/>
      <c r="L479" s="11"/>
      <c r="O479" s="34"/>
      <c r="P479" s="35"/>
    </row>
    <row r="480" spans="3:16" x14ac:dyDescent="0.25">
      <c r="C480" s="11"/>
      <c r="D480" s="32"/>
      <c r="I480" s="46" t="s">
        <v>942</v>
      </c>
      <c r="J480" s="47">
        <v>1</v>
      </c>
      <c r="K480" s="48"/>
      <c r="L480" s="11"/>
      <c r="O480" s="34"/>
      <c r="P480" s="35"/>
    </row>
    <row r="481" spans="3:16" x14ac:dyDescent="0.25">
      <c r="C481" s="11"/>
      <c r="D481" s="32"/>
      <c r="I481" s="46" t="s">
        <v>943</v>
      </c>
      <c r="J481" s="47">
        <v>1</v>
      </c>
      <c r="K481" s="48"/>
      <c r="L481" s="11"/>
      <c r="O481" s="34"/>
      <c r="P481" s="35"/>
    </row>
    <row r="482" spans="3:16" x14ac:dyDescent="0.25">
      <c r="C482" s="11"/>
      <c r="D482" s="32"/>
      <c r="I482" s="46" t="s">
        <v>341</v>
      </c>
      <c r="J482" s="47">
        <v>3</v>
      </c>
      <c r="K482" s="48"/>
      <c r="L482" s="11"/>
      <c r="O482" s="34"/>
      <c r="P482" s="35"/>
    </row>
    <row r="483" spans="3:16" x14ac:dyDescent="0.25">
      <c r="C483" s="11"/>
      <c r="D483" s="32"/>
      <c r="I483" s="46" t="s">
        <v>944</v>
      </c>
      <c r="J483" s="47">
        <v>1</v>
      </c>
      <c r="K483" s="48"/>
      <c r="L483" s="11"/>
      <c r="O483" s="34"/>
      <c r="P483" s="35"/>
    </row>
    <row r="484" spans="3:16" x14ac:dyDescent="0.25">
      <c r="C484" s="11"/>
      <c r="D484" s="32"/>
      <c r="I484" s="46" t="s">
        <v>945</v>
      </c>
      <c r="J484" s="47">
        <v>1</v>
      </c>
      <c r="K484" s="48"/>
      <c r="L484" s="11"/>
      <c r="O484" s="34"/>
      <c r="P484" s="35"/>
    </row>
    <row r="485" spans="3:16" x14ac:dyDescent="0.25">
      <c r="C485" s="11"/>
      <c r="D485" s="32"/>
      <c r="I485" s="46" t="s">
        <v>946</v>
      </c>
      <c r="J485" s="47">
        <v>1</v>
      </c>
      <c r="K485" s="48"/>
      <c r="L485" s="11"/>
      <c r="O485" s="34"/>
      <c r="P485" s="35"/>
    </row>
    <row r="486" spans="3:16" x14ac:dyDescent="0.25">
      <c r="C486" s="11"/>
      <c r="D486" s="32"/>
      <c r="I486" s="46" t="s">
        <v>947</v>
      </c>
      <c r="J486" s="47">
        <v>1</v>
      </c>
      <c r="K486" s="48"/>
      <c r="L486" s="11"/>
      <c r="O486" s="34"/>
      <c r="P486" s="35"/>
    </row>
    <row r="487" spans="3:16" x14ac:dyDescent="0.25">
      <c r="C487" s="11"/>
      <c r="D487" s="32"/>
      <c r="I487" s="46" t="s">
        <v>948</v>
      </c>
      <c r="J487" s="47">
        <v>1</v>
      </c>
      <c r="K487" s="48"/>
      <c r="L487" s="11"/>
      <c r="O487" s="34"/>
      <c r="P487" s="35"/>
    </row>
    <row r="488" spans="3:16" x14ac:dyDescent="0.25">
      <c r="C488" s="11"/>
      <c r="D488" s="32"/>
      <c r="I488" s="46" t="s">
        <v>949</v>
      </c>
      <c r="J488" s="47">
        <v>1</v>
      </c>
      <c r="K488" s="48"/>
      <c r="L488" s="11"/>
      <c r="O488" s="34"/>
      <c r="P488" s="35"/>
    </row>
    <row r="489" spans="3:16" x14ac:dyDescent="0.25">
      <c r="C489" s="11"/>
      <c r="D489" s="32"/>
      <c r="I489" s="46" t="s">
        <v>1212</v>
      </c>
      <c r="J489" s="47">
        <v>1</v>
      </c>
      <c r="K489" s="48"/>
      <c r="L489" s="11"/>
      <c r="O489" s="34"/>
      <c r="P489" s="35"/>
    </row>
    <row r="490" spans="3:16" x14ac:dyDescent="0.25">
      <c r="C490" s="11"/>
      <c r="D490" s="32"/>
      <c r="I490" s="46" t="s">
        <v>950</v>
      </c>
      <c r="J490" s="47">
        <v>2</v>
      </c>
      <c r="K490" s="48"/>
      <c r="L490" s="11"/>
      <c r="O490" s="34"/>
      <c r="P490" s="35"/>
    </row>
    <row r="491" spans="3:16" x14ac:dyDescent="0.25">
      <c r="C491" s="11"/>
      <c r="D491" s="32"/>
      <c r="I491" s="46" t="s">
        <v>951</v>
      </c>
      <c r="J491" s="47">
        <v>1</v>
      </c>
      <c r="K491" s="48"/>
      <c r="L491" s="11"/>
      <c r="O491" s="34"/>
      <c r="P491" s="35"/>
    </row>
    <row r="492" spans="3:16" x14ac:dyDescent="0.25">
      <c r="C492" s="11"/>
      <c r="D492" s="32"/>
      <c r="I492" s="46" t="s">
        <v>952</v>
      </c>
      <c r="J492" s="47">
        <v>1</v>
      </c>
      <c r="K492" s="48"/>
      <c r="L492" s="11"/>
      <c r="O492" s="34"/>
      <c r="P492" s="35"/>
    </row>
    <row r="493" spans="3:16" x14ac:dyDescent="0.25">
      <c r="C493" s="11"/>
      <c r="D493" s="32"/>
      <c r="I493" s="46" t="s">
        <v>953</v>
      </c>
      <c r="J493" s="47">
        <v>1</v>
      </c>
      <c r="K493" s="48"/>
      <c r="L493" s="11"/>
      <c r="O493" s="34"/>
      <c r="P493" s="35"/>
    </row>
    <row r="494" spans="3:16" x14ac:dyDescent="0.25">
      <c r="C494" s="11"/>
      <c r="D494" s="32"/>
      <c r="I494" s="46" t="s">
        <v>954</v>
      </c>
      <c r="J494" s="47">
        <v>1</v>
      </c>
      <c r="K494" s="48"/>
      <c r="L494" s="11"/>
      <c r="O494" s="34"/>
      <c r="P494" s="35"/>
    </row>
    <row r="495" spans="3:16" x14ac:dyDescent="0.25">
      <c r="C495" s="11"/>
      <c r="D495" s="32"/>
      <c r="I495" s="46" t="s">
        <v>95</v>
      </c>
      <c r="J495" s="47">
        <v>1</v>
      </c>
      <c r="K495" s="48"/>
      <c r="L495" s="11"/>
      <c r="O495" s="34"/>
      <c r="P495" s="35"/>
    </row>
    <row r="496" spans="3:16" x14ac:dyDescent="0.25">
      <c r="C496" s="11"/>
      <c r="D496" s="32"/>
      <c r="I496" s="46" t="s">
        <v>955</v>
      </c>
      <c r="J496" s="47">
        <v>1</v>
      </c>
      <c r="K496" s="48"/>
      <c r="L496" s="11"/>
      <c r="O496" s="34"/>
      <c r="P496" s="35"/>
    </row>
    <row r="497" spans="3:16" x14ac:dyDescent="0.25">
      <c r="C497" s="11"/>
      <c r="D497" s="32"/>
      <c r="I497" s="46" t="s">
        <v>342</v>
      </c>
      <c r="J497" s="47">
        <v>1</v>
      </c>
      <c r="K497" s="48"/>
      <c r="L497" s="11"/>
      <c r="O497" s="34"/>
      <c r="P497" s="35"/>
    </row>
    <row r="498" spans="3:16" x14ac:dyDescent="0.25">
      <c r="C498" s="11"/>
      <c r="D498" s="32"/>
      <c r="I498" s="46" t="s">
        <v>956</v>
      </c>
      <c r="J498" s="47">
        <v>1</v>
      </c>
      <c r="K498" s="48"/>
      <c r="L498" s="11"/>
      <c r="O498" s="34"/>
      <c r="P498" s="35"/>
    </row>
    <row r="499" spans="3:16" x14ac:dyDescent="0.25">
      <c r="C499" s="11"/>
      <c r="D499" s="32"/>
      <c r="I499" s="46" t="s">
        <v>957</v>
      </c>
      <c r="J499" s="47">
        <v>1</v>
      </c>
      <c r="K499" s="48"/>
      <c r="L499" s="11"/>
      <c r="O499" s="34"/>
      <c r="P499" s="35"/>
    </row>
    <row r="500" spans="3:16" x14ac:dyDescent="0.25">
      <c r="C500" s="11"/>
      <c r="D500" s="32"/>
      <c r="I500" s="46" t="s">
        <v>958</v>
      </c>
      <c r="J500" s="47">
        <v>1</v>
      </c>
      <c r="K500" s="48"/>
      <c r="L500" s="11"/>
      <c r="O500" s="34"/>
      <c r="P500" s="35"/>
    </row>
    <row r="501" spans="3:16" x14ac:dyDescent="0.25">
      <c r="C501" s="11"/>
      <c r="D501" s="32"/>
      <c r="I501" s="46" t="s">
        <v>343</v>
      </c>
      <c r="J501" s="47">
        <v>1</v>
      </c>
      <c r="K501" s="48"/>
      <c r="L501" s="11"/>
      <c r="O501" s="34"/>
      <c r="P501" s="35"/>
    </row>
    <row r="502" spans="3:16" x14ac:dyDescent="0.25">
      <c r="C502" s="11"/>
      <c r="D502" s="32"/>
      <c r="I502" s="46" t="s">
        <v>959</v>
      </c>
      <c r="J502" s="47">
        <v>1</v>
      </c>
      <c r="K502" s="48"/>
      <c r="L502" s="11"/>
      <c r="O502" s="34"/>
      <c r="P502" s="35"/>
    </row>
    <row r="503" spans="3:16" x14ac:dyDescent="0.25">
      <c r="C503" s="11"/>
      <c r="D503" s="32"/>
      <c r="I503" s="46" t="s">
        <v>960</v>
      </c>
      <c r="J503" s="47">
        <v>1</v>
      </c>
      <c r="K503" s="48"/>
      <c r="L503" s="11"/>
      <c r="O503" s="34"/>
      <c r="P503" s="35"/>
    </row>
    <row r="504" spans="3:16" x14ac:dyDescent="0.25">
      <c r="C504" s="11"/>
      <c r="D504" s="32"/>
      <c r="I504" s="46" t="s">
        <v>961</v>
      </c>
      <c r="J504" s="47">
        <v>1</v>
      </c>
      <c r="K504" s="48"/>
      <c r="L504" s="11"/>
      <c r="O504" s="34"/>
      <c r="P504" s="35"/>
    </row>
    <row r="505" spans="3:16" x14ac:dyDescent="0.25">
      <c r="C505" s="11"/>
      <c r="D505" s="32"/>
      <c r="I505" s="46" t="s">
        <v>962</v>
      </c>
      <c r="J505" s="47">
        <v>1</v>
      </c>
      <c r="K505" s="48"/>
      <c r="L505" s="11"/>
      <c r="O505" s="34"/>
      <c r="P505" s="35"/>
    </row>
    <row r="506" spans="3:16" x14ac:dyDescent="0.25">
      <c r="C506" s="11"/>
      <c r="D506" s="32"/>
      <c r="I506" s="46" t="s">
        <v>963</v>
      </c>
      <c r="J506" s="47">
        <v>1</v>
      </c>
      <c r="K506" s="48"/>
      <c r="L506" s="11"/>
      <c r="O506" s="34"/>
      <c r="P506" s="35"/>
    </row>
    <row r="507" spans="3:16" x14ac:dyDescent="0.25">
      <c r="C507" s="11"/>
      <c r="D507" s="32"/>
      <c r="I507" s="46" t="s">
        <v>964</v>
      </c>
      <c r="J507" s="47">
        <v>1</v>
      </c>
      <c r="K507" s="48"/>
      <c r="L507" s="11"/>
      <c r="O507" s="34"/>
      <c r="P507" s="35"/>
    </row>
    <row r="508" spans="3:16" x14ac:dyDescent="0.25">
      <c r="C508" s="11"/>
      <c r="D508" s="32"/>
      <c r="I508" s="46" t="s">
        <v>344</v>
      </c>
      <c r="J508" s="47">
        <v>1</v>
      </c>
      <c r="K508" s="48"/>
      <c r="L508" s="11"/>
      <c r="O508" s="34"/>
      <c r="P508" s="35"/>
    </row>
    <row r="509" spans="3:16" x14ac:dyDescent="0.25">
      <c r="C509" s="11"/>
      <c r="D509" s="32"/>
      <c r="I509" s="46" t="s">
        <v>965</v>
      </c>
      <c r="J509" s="47">
        <v>1</v>
      </c>
      <c r="K509" s="48"/>
      <c r="L509" s="11"/>
      <c r="O509" s="34"/>
      <c r="P509" s="35"/>
    </row>
    <row r="510" spans="3:16" x14ac:dyDescent="0.25">
      <c r="C510" s="11"/>
      <c r="D510" s="32"/>
      <c r="I510" s="46" t="s">
        <v>966</v>
      </c>
      <c r="J510" s="47">
        <v>2</v>
      </c>
      <c r="K510" s="48"/>
      <c r="L510" s="11"/>
      <c r="O510" s="34"/>
      <c r="P510" s="35"/>
    </row>
    <row r="511" spans="3:16" x14ac:dyDescent="0.25">
      <c r="C511" s="11"/>
      <c r="D511" s="32"/>
      <c r="I511" s="46" t="s">
        <v>96</v>
      </c>
      <c r="J511" s="47">
        <v>2</v>
      </c>
      <c r="K511" s="48"/>
      <c r="L511" s="11"/>
      <c r="O511" s="34"/>
      <c r="P511" s="35"/>
    </row>
    <row r="512" spans="3:16" x14ac:dyDescent="0.25">
      <c r="C512" s="11"/>
      <c r="D512" s="32"/>
      <c r="I512" s="46" t="s">
        <v>967</v>
      </c>
      <c r="J512" s="47">
        <v>1</v>
      </c>
      <c r="K512" s="48"/>
      <c r="L512" s="11"/>
      <c r="O512" s="34"/>
      <c r="P512" s="35"/>
    </row>
    <row r="513" spans="3:16" x14ac:dyDescent="0.25">
      <c r="C513" s="11"/>
      <c r="D513" s="32"/>
      <c r="I513" s="46" t="s">
        <v>968</v>
      </c>
      <c r="J513" s="47">
        <v>3</v>
      </c>
      <c r="K513" s="48"/>
      <c r="L513" s="11"/>
      <c r="O513" s="34"/>
      <c r="P513" s="35"/>
    </row>
    <row r="514" spans="3:16" x14ac:dyDescent="0.25">
      <c r="C514" s="11"/>
      <c r="D514" s="32"/>
      <c r="I514" s="46" t="s">
        <v>969</v>
      </c>
      <c r="J514" s="47">
        <v>3</v>
      </c>
      <c r="K514" s="48"/>
      <c r="L514" s="11"/>
      <c r="O514" s="34"/>
      <c r="P514" s="35"/>
    </row>
    <row r="515" spans="3:16" x14ac:dyDescent="0.25">
      <c r="C515" s="11"/>
      <c r="D515" s="32"/>
      <c r="I515" s="46" t="s">
        <v>970</v>
      </c>
      <c r="J515" s="47">
        <v>1</v>
      </c>
      <c r="K515" s="48"/>
      <c r="L515" s="11"/>
      <c r="O515" s="34"/>
      <c r="P515" s="35"/>
    </row>
    <row r="516" spans="3:16" x14ac:dyDescent="0.25">
      <c r="C516" s="11"/>
      <c r="D516" s="32"/>
      <c r="I516" s="46" t="s">
        <v>971</v>
      </c>
      <c r="J516" s="47">
        <v>1</v>
      </c>
      <c r="K516" s="48"/>
      <c r="L516" s="11"/>
      <c r="O516" s="34"/>
      <c r="P516" s="35"/>
    </row>
    <row r="517" spans="3:16" x14ac:dyDescent="0.25">
      <c r="C517" s="11"/>
      <c r="D517" s="32"/>
      <c r="I517" s="46" t="s">
        <v>972</v>
      </c>
      <c r="J517" s="47">
        <v>1</v>
      </c>
      <c r="K517" s="48"/>
      <c r="L517" s="11"/>
      <c r="O517" s="34"/>
      <c r="P517" s="35"/>
    </row>
    <row r="518" spans="3:16" x14ac:dyDescent="0.25">
      <c r="C518" s="11"/>
      <c r="D518" s="32"/>
      <c r="I518" s="46" t="s">
        <v>973</v>
      </c>
      <c r="J518" s="47">
        <v>1</v>
      </c>
      <c r="K518" s="48"/>
      <c r="L518" s="11"/>
      <c r="O518" s="34"/>
      <c r="P518" s="35"/>
    </row>
    <row r="519" spans="3:16" x14ac:dyDescent="0.25">
      <c r="C519" s="11"/>
      <c r="D519" s="32"/>
      <c r="I519" s="46" t="s">
        <v>974</v>
      </c>
      <c r="J519" s="47">
        <v>1</v>
      </c>
      <c r="K519" s="48"/>
      <c r="L519" s="11"/>
      <c r="O519" s="34"/>
      <c r="P519" s="35"/>
    </row>
    <row r="520" spans="3:16" x14ac:dyDescent="0.25">
      <c r="C520" s="11"/>
      <c r="D520" s="32"/>
      <c r="I520" s="46" t="s">
        <v>975</v>
      </c>
      <c r="J520" s="47">
        <v>1</v>
      </c>
      <c r="K520" s="48"/>
      <c r="L520" s="11"/>
      <c r="O520" s="34"/>
      <c r="P520" s="35"/>
    </row>
    <row r="521" spans="3:16" x14ac:dyDescent="0.25">
      <c r="C521" s="11"/>
      <c r="D521" s="32"/>
      <c r="I521" s="46" t="s">
        <v>976</v>
      </c>
      <c r="J521" s="47">
        <v>1</v>
      </c>
      <c r="K521" s="48"/>
      <c r="L521" s="11"/>
      <c r="O521" s="34"/>
      <c r="P521" s="35"/>
    </row>
    <row r="522" spans="3:16" x14ac:dyDescent="0.25">
      <c r="C522" s="11"/>
      <c r="D522" s="32"/>
      <c r="I522" s="46" t="s">
        <v>977</v>
      </c>
      <c r="J522" s="47">
        <v>1</v>
      </c>
      <c r="K522" s="48"/>
      <c r="L522" s="11"/>
      <c r="O522" s="34"/>
      <c r="P522" s="35"/>
    </row>
    <row r="523" spans="3:16" x14ac:dyDescent="0.25">
      <c r="C523" s="11"/>
      <c r="D523" s="32"/>
      <c r="I523" s="46" t="s">
        <v>345</v>
      </c>
      <c r="J523" s="47">
        <v>3</v>
      </c>
      <c r="K523" s="48"/>
      <c r="L523" s="11"/>
      <c r="O523" s="34"/>
      <c r="P523" s="35"/>
    </row>
    <row r="524" spans="3:16" x14ac:dyDescent="0.25">
      <c r="C524" s="11"/>
      <c r="D524" s="32"/>
      <c r="I524" s="46" t="s">
        <v>978</v>
      </c>
      <c r="J524" s="47">
        <v>3</v>
      </c>
      <c r="K524" s="48"/>
      <c r="L524" s="11"/>
      <c r="O524" s="34"/>
      <c r="P524" s="35"/>
    </row>
    <row r="525" spans="3:16" x14ac:dyDescent="0.25">
      <c r="C525" s="11"/>
      <c r="D525" s="32"/>
      <c r="I525" s="46" t="s">
        <v>979</v>
      </c>
      <c r="J525" s="47">
        <v>1</v>
      </c>
      <c r="K525" s="48"/>
      <c r="L525" s="11"/>
      <c r="O525" s="34"/>
      <c r="P525" s="35"/>
    </row>
    <row r="526" spans="3:16" x14ac:dyDescent="0.25">
      <c r="C526" s="11"/>
      <c r="D526" s="32"/>
      <c r="I526" s="46" t="s">
        <v>980</v>
      </c>
      <c r="J526" s="47">
        <v>1</v>
      </c>
      <c r="K526" s="48"/>
      <c r="L526" s="11"/>
      <c r="O526" s="34"/>
      <c r="P526" s="35"/>
    </row>
    <row r="527" spans="3:16" x14ac:dyDescent="0.25">
      <c r="C527" s="11"/>
      <c r="D527" s="32"/>
      <c r="I527" s="46" t="s">
        <v>981</v>
      </c>
      <c r="J527" s="47">
        <v>2</v>
      </c>
      <c r="K527" s="48"/>
      <c r="L527" s="11"/>
      <c r="O527" s="34"/>
      <c r="P527" s="35"/>
    </row>
    <row r="528" spans="3:16" x14ac:dyDescent="0.25">
      <c r="C528" s="11"/>
      <c r="D528" s="32"/>
      <c r="I528" s="46" t="s">
        <v>982</v>
      </c>
      <c r="J528" s="47">
        <v>1</v>
      </c>
      <c r="K528" s="48"/>
      <c r="L528" s="11"/>
      <c r="O528" s="34"/>
      <c r="P528" s="35"/>
    </row>
    <row r="529" spans="3:16" x14ac:dyDescent="0.25">
      <c r="C529" s="11"/>
      <c r="D529" s="32"/>
      <c r="I529" s="46" t="s">
        <v>983</v>
      </c>
      <c r="J529" s="47">
        <v>3</v>
      </c>
      <c r="K529" s="48"/>
      <c r="L529" s="11"/>
      <c r="O529" s="34"/>
      <c r="P529" s="35"/>
    </row>
    <row r="530" spans="3:16" x14ac:dyDescent="0.25">
      <c r="C530" s="11"/>
      <c r="D530" s="32"/>
      <c r="I530" s="46" t="s">
        <v>984</v>
      </c>
      <c r="J530" s="47">
        <v>1</v>
      </c>
      <c r="K530" s="48"/>
      <c r="L530" s="11"/>
      <c r="O530" s="34"/>
      <c r="P530" s="35"/>
    </row>
    <row r="531" spans="3:16" x14ac:dyDescent="0.25">
      <c r="C531" s="11"/>
      <c r="D531" s="32"/>
      <c r="I531" s="46" t="s">
        <v>985</v>
      </c>
      <c r="J531" s="47">
        <v>1</v>
      </c>
      <c r="K531" s="48"/>
      <c r="L531" s="11"/>
      <c r="O531" s="34"/>
      <c r="P531" s="35"/>
    </row>
    <row r="532" spans="3:16" x14ac:dyDescent="0.25">
      <c r="C532" s="11"/>
      <c r="D532" s="32"/>
      <c r="I532" s="46" t="s">
        <v>986</v>
      </c>
      <c r="J532" s="47">
        <v>1</v>
      </c>
      <c r="K532" s="48"/>
      <c r="L532" s="11"/>
      <c r="O532" s="34"/>
      <c r="P532" s="35"/>
    </row>
    <row r="533" spans="3:16" x14ac:dyDescent="0.25">
      <c r="C533" s="11"/>
      <c r="D533" s="32"/>
      <c r="I533" s="46" t="s">
        <v>987</v>
      </c>
      <c r="J533" s="47">
        <v>1</v>
      </c>
      <c r="K533" s="48"/>
      <c r="L533" s="11"/>
      <c r="O533" s="34"/>
      <c r="P533" s="35"/>
    </row>
    <row r="534" spans="3:16" x14ac:dyDescent="0.25">
      <c r="C534" s="11"/>
      <c r="D534" s="32"/>
      <c r="I534" s="46" t="s">
        <v>988</v>
      </c>
      <c r="J534" s="47">
        <v>1</v>
      </c>
      <c r="K534" s="48"/>
      <c r="L534" s="11"/>
      <c r="O534" s="34"/>
      <c r="P534" s="35"/>
    </row>
    <row r="535" spans="3:16" x14ac:dyDescent="0.25">
      <c r="C535" s="11"/>
      <c r="D535" s="32"/>
      <c r="I535" s="46" t="s">
        <v>989</v>
      </c>
      <c r="J535" s="47">
        <v>1</v>
      </c>
      <c r="K535" s="48"/>
      <c r="L535" s="11"/>
      <c r="O535" s="34"/>
      <c r="P535" s="35"/>
    </row>
    <row r="536" spans="3:16" x14ac:dyDescent="0.25">
      <c r="C536" s="11"/>
      <c r="D536" s="32"/>
      <c r="I536" s="46" t="s">
        <v>990</v>
      </c>
      <c r="J536" s="47">
        <v>2</v>
      </c>
      <c r="K536" s="48"/>
      <c r="L536" s="11"/>
      <c r="O536" s="34"/>
      <c r="P536" s="35"/>
    </row>
    <row r="537" spans="3:16" x14ac:dyDescent="0.25">
      <c r="C537" s="11"/>
      <c r="D537" s="32"/>
      <c r="I537" s="46" t="s">
        <v>991</v>
      </c>
      <c r="J537" s="47">
        <v>1</v>
      </c>
      <c r="K537" s="48"/>
      <c r="L537" s="11"/>
      <c r="O537" s="34"/>
      <c r="P537" s="35"/>
    </row>
    <row r="538" spans="3:16" x14ac:dyDescent="0.25">
      <c r="C538" s="11"/>
      <c r="D538" s="32"/>
      <c r="I538" s="46" t="s">
        <v>346</v>
      </c>
      <c r="J538" s="47">
        <v>1</v>
      </c>
      <c r="K538" s="48"/>
      <c r="L538" s="11"/>
      <c r="O538" s="34"/>
      <c r="P538" s="35"/>
    </row>
    <row r="539" spans="3:16" x14ac:dyDescent="0.25">
      <c r="C539" s="11"/>
      <c r="D539" s="32"/>
      <c r="I539" s="46" t="s">
        <v>992</v>
      </c>
      <c r="J539" s="47">
        <v>2</v>
      </c>
      <c r="K539" s="48"/>
      <c r="L539" s="11"/>
      <c r="O539" s="34"/>
      <c r="P539" s="35"/>
    </row>
    <row r="540" spans="3:16" x14ac:dyDescent="0.25">
      <c r="C540" s="11"/>
      <c r="D540" s="32"/>
      <c r="I540" s="46" t="s">
        <v>993</v>
      </c>
      <c r="J540" s="47">
        <v>1</v>
      </c>
      <c r="K540" s="48"/>
      <c r="L540" s="11"/>
      <c r="O540" s="34"/>
      <c r="P540" s="35"/>
    </row>
    <row r="541" spans="3:16" x14ac:dyDescent="0.25">
      <c r="C541" s="11"/>
      <c r="D541" s="32"/>
      <c r="I541" s="46" t="s">
        <v>994</v>
      </c>
      <c r="J541" s="47">
        <v>1</v>
      </c>
      <c r="K541" s="48"/>
      <c r="L541" s="11"/>
      <c r="O541" s="34"/>
      <c r="P541" s="35"/>
    </row>
    <row r="542" spans="3:16" x14ac:dyDescent="0.25">
      <c r="C542" s="11"/>
      <c r="D542" s="32"/>
      <c r="I542" s="46" t="s">
        <v>347</v>
      </c>
      <c r="J542" s="47">
        <v>3</v>
      </c>
      <c r="K542" s="48"/>
      <c r="L542" s="11"/>
      <c r="O542" s="34"/>
      <c r="P542" s="35"/>
    </row>
    <row r="543" spans="3:16" x14ac:dyDescent="0.25">
      <c r="C543" s="11"/>
      <c r="D543" s="32"/>
      <c r="I543" s="46" t="s">
        <v>995</v>
      </c>
      <c r="J543" s="47">
        <v>1</v>
      </c>
      <c r="K543" s="48"/>
      <c r="L543" s="11"/>
      <c r="O543" s="34"/>
      <c r="P543" s="35"/>
    </row>
    <row r="544" spans="3:16" x14ac:dyDescent="0.25">
      <c r="C544" s="11"/>
      <c r="D544" s="32"/>
      <c r="I544" s="46" t="s">
        <v>996</v>
      </c>
      <c r="J544" s="47">
        <v>2</v>
      </c>
      <c r="K544" s="48"/>
      <c r="L544" s="11"/>
      <c r="O544" s="34"/>
      <c r="P544" s="35"/>
    </row>
    <row r="545" spans="3:16" x14ac:dyDescent="0.25">
      <c r="C545" s="11"/>
      <c r="D545" s="32"/>
      <c r="I545" s="46" t="s">
        <v>997</v>
      </c>
      <c r="J545" s="47">
        <v>1</v>
      </c>
      <c r="K545" s="48"/>
      <c r="L545" s="11"/>
      <c r="O545" s="34"/>
      <c r="P545" s="35"/>
    </row>
    <row r="546" spans="3:16" x14ac:dyDescent="0.25">
      <c r="C546" s="11"/>
      <c r="D546" s="32"/>
      <c r="I546" s="46" t="s">
        <v>998</v>
      </c>
      <c r="J546" s="47">
        <v>1</v>
      </c>
      <c r="K546" s="48"/>
      <c r="L546" s="11"/>
      <c r="O546" s="34"/>
      <c r="P546" s="35"/>
    </row>
    <row r="547" spans="3:16" x14ac:dyDescent="0.25">
      <c r="C547" s="11"/>
      <c r="D547" s="32"/>
      <c r="I547" s="46" t="s">
        <v>999</v>
      </c>
      <c r="J547" s="47">
        <v>1</v>
      </c>
      <c r="K547" s="48"/>
      <c r="L547" s="11"/>
      <c r="O547" s="34"/>
      <c r="P547" s="35"/>
    </row>
    <row r="548" spans="3:16" x14ac:dyDescent="0.25">
      <c r="C548" s="11"/>
      <c r="D548" s="32"/>
      <c r="I548" s="46" t="s">
        <v>1208</v>
      </c>
      <c r="J548" s="47">
        <v>2</v>
      </c>
      <c r="K548" s="48"/>
      <c r="L548" s="11"/>
      <c r="O548" s="34"/>
      <c r="P548" s="35"/>
    </row>
    <row r="549" spans="3:16" x14ac:dyDescent="0.25">
      <c r="C549" s="11"/>
      <c r="D549" s="32"/>
      <c r="I549" s="46" t="s">
        <v>1000</v>
      </c>
      <c r="J549" s="47">
        <v>2</v>
      </c>
      <c r="K549" s="48"/>
      <c r="L549" s="11"/>
      <c r="O549" s="34"/>
      <c r="P549" s="35"/>
    </row>
    <row r="550" spans="3:16" x14ac:dyDescent="0.25">
      <c r="C550" s="11"/>
      <c r="D550" s="32"/>
      <c r="I550" s="46" t="s">
        <v>1001</v>
      </c>
      <c r="J550" s="47">
        <v>3</v>
      </c>
      <c r="K550" s="48"/>
      <c r="L550" s="11"/>
      <c r="O550" s="34"/>
      <c r="P550" s="35"/>
    </row>
    <row r="551" spans="3:16" x14ac:dyDescent="0.25">
      <c r="C551" s="11"/>
      <c r="D551" s="32"/>
      <c r="I551" s="46" t="s">
        <v>1002</v>
      </c>
      <c r="J551" s="47">
        <v>1</v>
      </c>
      <c r="K551" s="48"/>
      <c r="L551" s="11"/>
      <c r="O551" s="34"/>
      <c r="P551" s="35"/>
    </row>
    <row r="552" spans="3:16" x14ac:dyDescent="0.25">
      <c r="C552" s="11"/>
      <c r="D552" s="32"/>
      <c r="I552" s="46" t="s">
        <v>1003</v>
      </c>
      <c r="J552" s="47">
        <v>1</v>
      </c>
      <c r="K552" s="48"/>
      <c r="L552" s="11"/>
      <c r="O552" s="34"/>
      <c r="P552" s="35"/>
    </row>
    <row r="553" spans="3:16" x14ac:dyDescent="0.25">
      <c r="C553" s="11"/>
      <c r="D553" s="32"/>
      <c r="I553" s="46" t="s">
        <v>1004</v>
      </c>
      <c r="J553" s="47">
        <v>1</v>
      </c>
      <c r="K553" s="48"/>
      <c r="L553" s="11"/>
      <c r="O553" s="34"/>
      <c r="P553" s="35"/>
    </row>
    <row r="554" spans="3:16" x14ac:dyDescent="0.25">
      <c r="C554" s="11"/>
      <c r="D554" s="32"/>
      <c r="I554" s="46" t="s">
        <v>1005</v>
      </c>
      <c r="J554" s="47">
        <v>2</v>
      </c>
      <c r="K554" s="48"/>
      <c r="L554" s="11"/>
      <c r="O554" s="34"/>
      <c r="P554" s="35"/>
    </row>
    <row r="555" spans="3:16" x14ac:dyDescent="0.25">
      <c r="C555" s="11"/>
      <c r="D555" s="32"/>
      <c r="I555" s="46" t="s">
        <v>1006</v>
      </c>
      <c r="J555" s="47">
        <v>1</v>
      </c>
      <c r="K555" s="48"/>
      <c r="L555" s="11"/>
      <c r="O555" s="34"/>
      <c r="P555" s="35"/>
    </row>
    <row r="556" spans="3:16" x14ac:dyDescent="0.25">
      <c r="C556" s="11"/>
      <c r="D556" s="32"/>
      <c r="I556" s="46" t="s">
        <v>1007</v>
      </c>
      <c r="J556" s="47">
        <v>1</v>
      </c>
      <c r="K556" s="48"/>
      <c r="L556" s="11"/>
      <c r="O556" s="34"/>
      <c r="P556" s="35"/>
    </row>
    <row r="557" spans="3:16" x14ac:dyDescent="0.25">
      <c r="C557" s="11"/>
      <c r="D557" s="32"/>
      <c r="I557" s="46" t="s">
        <v>1008</v>
      </c>
      <c r="J557" s="47">
        <v>1</v>
      </c>
      <c r="K557" s="48"/>
      <c r="L557" s="11"/>
      <c r="O557" s="34"/>
      <c r="P557" s="35"/>
    </row>
    <row r="558" spans="3:16" x14ac:dyDescent="0.25">
      <c r="C558" s="11"/>
      <c r="D558" s="32"/>
      <c r="I558" s="46" t="s">
        <v>1009</v>
      </c>
      <c r="J558" s="47">
        <v>1</v>
      </c>
      <c r="K558" s="48"/>
      <c r="L558" s="11"/>
      <c r="O558" s="34"/>
      <c r="P558" s="35"/>
    </row>
    <row r="559" spans="3:16" x14ac:dyDescent="0.25">
      <c r="C559" s="11"/>
      <c r="D559" s="32"/>
      <c r="I559" s="46" t="s">
        <v>1010</v>
      </c>
      <c r="J559" s="47">
        <v>1</v>
      </c>
      <c r="K559" s="48"/>
      <c r="L559" s="11"/>
      <c r="O559" s="34"/>
      <c r="P559" s="35"/>
    </row>
    <row r="560" spans="3:16" x14ac:dyDescent="0.25">
      <c r="C560" s="11"/>
      <c r="D560" s="32"/>
      <c r="I560" s="46" t="s">
        <v>1011</v>
      </c>
      <c r="J560" s="47">
        <v>1</v>
      </c>
      <c r="K560" s="48"/>
      <c r="L560" s="11"/>
      <c r="O560" s="34"/>
      <c r="P560" s="35"/>
    </row>
    <row r="561" spans="3:16" x14ac:dyDescent="0.25">
      <c r="C561" s="11"/>
      <c r="D561" s="32"/>
      <c r="I561" s="46" t="s">
        <v>1012</v>
      </c>
      <c r="J561" s="47">
        <v>3</v>
      </c>
      <c r="K561" s="48" t="s">
        <v>3</v>
      </c>
      <c r="L561" s="11"/>
      <c r="O561" s="34"/>
      <c r="P561" s="35"/>
    </row>
    <row r="562" spans="3:16" x14ac:dyDescent="0.25">
      <c r="C562" s="11"/>
      <c r="D562" s="32"/>
      <c r="I562" s="46" t="s">
        <v>1013</v>
      </c>
      <c r="J562" s="47">
        <v>3</v>
      </c>
      <c r="K562" s="48" t="s">
        <v>3</v>
      </c>
      <c r="L562" s="11"/>
      <c r="O562" s="34"/>
      <c r="P562" s="35"/>
    </row>
    <row r="563" spans="3:16" x14ac:dyDescent="0.25">
      <c r="C563" s="11"/>
      <c r="D563" s="32"/>
      <c r="I563" s="46" t="s">
        <v>1014</v>
      </c>
      <c r="J563" s="47">
        <v>1</v>
      </c>
      <c r="K563" s="48"/>
      <c r="L563" s="11"/>
      <c r="O563" s="34"/>
      <c r="P563" s="35"/>
    </row>
    <row r="564" spans="3:16" x14ac:dyDescent="0.25">
      <c r="C564" s="11"/>
      <c r="D564" s="32"/>
      <c r="I564" s="46" t="s">
        <v>1015</v>
      </c>
      <c r="J564" s="47">
        <v>1</v>
      </c>
      <c r="K564" s="48"/>
      <c r="L564" s="11"/>
      <c r="O564" s="34"/>
      <c r="P564" s="35"/>
    </row>
    <row r="565" spans="3:16" x14ac:dyDescent="0.25">
      <c r="C565" s="11"/>
      <c r="D565" s="32"/>
      <c r="I565" s="46" t="s">
        <v>1016</v>
      </c>
      <c r="J565" s="47">
        <v>1</v>
      </c>
      <c r="K565" s="48"/>
      <c r="L565" s="11"/>
      <c r="O565" s="34"/>
      <c r="P565" s="35"/>
    </row>
    <row r="566" spans="3:16" x14ac:dyDescent="0.25">
      <c r="C566" s="11"/>
      <c r="D566" s="32"/>
      <c r="I566" s="46" t="s">
        <v>1017</v>
      </c>
      <c r="J566" s="47">
        <v>1</v>
      </c>
      <c r="K566" s="48"/>
      <c r="L566" s="11"/>
      <c r="O566" s="34"/>
      <c r="P566" s="35"/>
    </row>
    <row r="567" spans="3:16" x14ac:dyDescent="0.25">
      <c r="C567" s="11"/>
      <c r="D567" s="32"/>
      <c r="I567" s="46" t="s">
        <v>1018</v>
      </c>
      <c r="J567" s="47">
        <v>1</v>
      </c>
      <c r="K567" s="48"/>
      <c r="L567" s="11"/>
      <c r="O567" s="34"/>
      <c r="P567" s="35"/>
    </row>
    <row r="568" spans="3:16" x14ac:dyDescent="0.25">
      <c r="C568" s="11"/>
      <c r="D568" s="32"/>
      <c r="I568" s="46" t="s">
        <v>1019</v>
      </c>
      <c r="J568" s="47">
        <v>1</v>
      </c>
      <c r="K568" s="48"/>
      <c r="L568" s="11"/>
      <c r="O568" s="34"/>
      <c r="P568" s="35"/>
    </row>
    <row r="569" spans="3:16" x14ac:dyDescent="0.25">
      <c r="C569" s="11"/>
      <c r="D569" s="32"/>
      <c r="I569" s="46" t="s">
        <v>1020</v>
      </c>
      <c r="J569" s="47">
        <v>1</v>
      </c>
      <c r="K569" s="48"/>
      <c r="L569" s="11"/>
      <c r="O569" s="34"/>
      <c r="P569" s="35"/>
    </row>
    <row r="570" spans="3:16" x14ac:dyDescent="0.25">
      <c r="C570" s="11"/>
      <c r="D570" s="32"/>
      <c r="I570" s="46" t="s">
        <v>1021</v>
      </c>
      <c r="J570" s="47">
        <v>1</v>
      </c>
      <c r="K570" s="48"/>
      <c r="L570" s="11"/>
      <c r="O570" s="34"/>
      <c r="P570" s="35"/>
    </row>
    <row r="571" spans="3:16" x14ac:dyDescent="0.25">
      <c r="C571" s="11"/>
      <c r="D571" s="32"/>
      <c r="I571" s="46" t="s">
        <v>1022</v>
      </c>
      <c r="J571" s="47">
        <v>1</v>
      </c>
      <c r="K571" s="48"/>
      <c r="L571" s="11"/>
      <c r="O571" s="34"/>
      <c r="P571" s="35"/>
    </row>
    <row r="572" spans="3:16" x14ac:dyDescent="0.25">
      <c r="C572" s="11"/>
      <c r="D572" s="32"/>
      <c r="I572" s="46" t="s">
        <v>1023</v>
      </c>
      <c r="J572" s="47">
        <v>1</v>
      </c>
      <c r="K572" s="48"/>
      <c r="L572" s="11"/>
      <c r="O572" s="34"/>
      <c r="P572" s="35"/>
    </row>
    <row r="573" spans="3:16" x14ac:dyDescent="0.25">
      <c r="C573" s="11"/>
      <c r="D573" s="32"/>
      <c r="I573" s="46" t="s">
        <v>1024</v>
      </c>
      <c r="J573" s="47">
        <v>1</v>
      </c>
      <c r="K573" s="48"/>
      <c r="L573" s="11"/>
      <c r="O573" s="34"/>
      <c r="P573" s="35"/>
    </row>
    <row r="574" spans="3:16" x14ac:dyDescent="0.25">
      <c r="C574" s="11"/>
      <c r="D574" s="32"/>
      <c r="I574" s="46" t="s">
        <v>1025</v>
      </c>
      <c r="J574" s="47">
        <v>1</v>
      </c>
      <c r="K574" s="48"/>
      <c r="L574" s="11"/>
      <c r="O574" s="34"/>
      <c r="P574" s="35"/>
    </row>
    <row r="575" spans="3:16" x14ac:dyDescent="0.25">
      <c r="C575" s="11"/>
      <c r="D575" s="32"/>
      <c r="I575" s="46" t="s">
        <v>1026</v>
      </c>
      <c r="J575" s="47">
        <v>1</v>
      </c>
      <c r="K575" s="48"/>
      <c r="L575" s="11"/>
      <c r="O575" s="34"/>
      <c r="P575" s="35"/>
    </row>
    <row r="576" spans="3:16" x14ac:dyDescent="0.25">
      <c r="C576" s="11"/>
      <c r="D576" s="32"/>
      <c r="I576" s="46" t="s">
        <v>1027</v>
      </c>
      <c r="J576" s="47">
        <v>1</v>
      </c>
      <c r="K576" s="48"/>
      <c r="L576" s="11"/>
      <c r="O576" s="34"/>
      <c r="P576" s="35"/>
    </row>
    <row r="577" spans="3:16" x14ac:dyDescent="0.25">
      <c r="C577" s="11"/>
      <c r="D577" s="32"/>
      <c r="I577" s="46" t="s">
        <v>348</v>
      </c>
      <c r="J577" s="47">
        <v>1</v>
      </c>
      <c r="K577" s="48"/>
      <c r="L577" s="11"/>
      <c r="O577" s="34"/>
      <c r="P577" s="35"/>
    </row>
    <row r="578" spans="3:16" x14ac:dyDescent="0.25">
      <c r="C578" s="11"/>
      <c r="D578" s="32"/>
      <c r="I578" s="46" t="s">
        <v>1028</v>
      </c>
      <c r="J578" s="47">
        <v>1</v>
      </c>
      <c r="K578" s="48"/>
      <c r="L578" s="11"/>
      <c r="O578" s="34"/>
      <c r="P578" s="35"/>
    </row>
    <row r="579" spans="3:16" x14ac:dyDescent="0.25">
      <c r="C579" s="11"/>
      <c r="D579" s="32"/>
      <c r="I579" s="46" t="s">
        <v>1029</v>
      </c>
      <c r="J579" s="47">
        <v>1</v>
      </c>
      <c r="K579" s="48"/>
      <c r="L579" s="11"/>
      <c r="O579" s="34"/>
      <c r="P579" s="35"/>
    </row>
    <row r="580" spans="3:16" x14ac:dyDescent="0.25">
      <c r="C580" s="11"/>
      <c r="D580" s="32"/>
      <c r="I580" s="46" t="s">
        <v>349</v>
      </c>
      <c r="J580" s="47">
        <v>1</v>
      </c>
      <c r="K580" s="48"/>
      <c r="L580" s="11"/>
      <c r="O580" s="34"/>
      <c r="P580" s="35"/>
    </row>
    <row r="581" spans="3:16" x14ac:dyDescent="0.25">
      <c r="C581" s="11"/>
      <c r="D581" s="32"/>
      <c r="I581" s="46" t="s">
        <v>1030</v>
      </c>
      <c r="J581" s="47">
        <v>1</v>
      </c>
      <c r="K581" s="48"/>
      <c r="L581" s="11"/>
      <c r="O581" s="34"/>
      <c r="P581" s="35"/>
    </row>
    <row r="582" spans="3:16" x14ac:dyDescent="0.25">
      <c r="C582" s="11"/>
      <c r="D582" s="32"/>
      <c r="I582" s="46" t="s">
        <v>1031</v>
      </c>
      <c r="J582" s="47">
        <v>1</v>
      </c>
      <c r="K582" s="48"/>
      <c r="L582" s="11"/>
      <c r="O582" s="34"/>
      <c r="P582" s="35"/>
    </row>
    <row r="583" spans="3:16" x14ac:dyDescent="0.25">
      <c r="C583" s="11"/>
      <c r="D583" s="32"/>
      <c r="I583" s="46" t="s">
        <v>1032</v>
      </c>
      <c r="J583" s="47">
        <v>1</v>
      </c>
      <c r="K583" s="48"/>
      <c r="L583" s="11"/>
      <c r="O583" s="34"/>
      <c r="P583" s="35"/>
    </row>
    <row r="584" spans="3:16" x14ac:dyDescent="0.25">
      <c r="C584" s="11"/>
      <c r="D584" s="32"/>
      <c r="I584" s="46" t="s">
        <v>1033</v>
      </c>
      <c r="J584" s="47">
        <v>1</v>
      </c>
      <c r="K584" s="48"/>
      <c r="L584" s="11"/>
      <c r="O584" s="34"/>
      <c r="P584" s="35"/>
    </row>
    <row r="585" spans="3:16" x14ac:dyDescent="0.25">
      <c r="C585" s="11"/>
      <c r="D585" s="32"/>
      <c r="I585" s="46" t="s">
        <v>1034</v>
      </c>
      <c r="J585" s="47">
        <v>1</v>
      </c>
      <c r="K585" s="48"/>
      <c r="L585" s="11"/>
      <c r="O585" s="34"/>
      <c r="P585" s="35"/>
    </row>
    <row r="586" spans="3:16" x14ac:dyDescent="0.25">
      <c r="C586" s="11"/>
      <c r="D586" s="32"/>
      <c r="I586" s="46" t="s">
        <v>1035</v>
      </c>
      <c r="J586" s="47">
        <v>1</v>
      </c>
      <c r="K586" s="48"/>
      <c r="L586" s="11"/>
      <c r="O586" s="34"/>
      <c r="P586" s="35"/>
    </row>
    <row r="587" spans="3:16" x14ac:dyDescent="0.25">
      <c r="C587" s="11"/>
      <c r="D587" s="32"/>
      <c r="I587" s="46" t="s">
        <v>1036</v>
      </c>
      <c r="J587" s="47">
        <v>1</v>
      </c>
      <c r="K587" s="48"/>
      <c r="L587" s="11"/>
      <c r="O587" s="34"/>
      <c r="P587" s="35"/>
    </row>
    <row r="588" spans="3:16" x14ac:dyDescent="0.25">
      <c r="C588" s="11"/>
      <c r="D588" s="32"/>
      <c r="I588" s="46" t="s">
        <v>1037</v>
      </c>
      <c r="J588" s="47">
        <v>1</v>
      </c>
      <c r="K588" s="48"/>
      <c r="L588" s="11"/>
      <c r="O588" s="34"/>
      <c r="P588" s="35"/>
    </row>
    <row r="589" spans="3:16" x14ac:dyDescent="0.25">
      <c r="C589" s="11"/>
      <c r="D589" s="32"/>
      <c r="I589" s="46" t="s">
        <v>1038</v>
      </c>
      <c r="J589" s="47">
        <v>3</v>
      </c>
      <c r="K589" s="48"/>
      <c r="L589" s="11"/>
      <c r="O589" s="34"/>
      <c r="P589" s="35"/>
    </row>
    <row r="590" spans="3:16" x14ac:dyDescent="0.25">
      <c r="C590" s="11"/>
      <c r="D590" s="32"/>
      <c r="I590" s="46" t="s">
        <v>1039</v>
      </c>
      <c r="J590" s="47">
        <v>1</v>
      </c>
      <c r="K590" s="48"/>
      <c r="L590" s="11"/>
      <c r="O590" s="34"/>
      <c r="P590" s="35"/>
    </row>
    <row r="591" spans="3:16" x14ac:dyDescent="0.25">
      <c r="C591" s="11"/>
      <c r="D591" s="32"/>
      <c r="I591" s="46" t="s">
        <v>1040</v>
      </c>
      <c r="J591" s="47">
        <v>1</v>
      </c>
      <c r="K591" s="48"/>
      <c r="L591" s="11"/>
      <c r="O591" s="34"/>
      <c r="P591" s="35"/>
    </row>
    <row r="592" spans="3:16" x14ac:dyDescent="0.25">
      <c r="C592" s="11"/>
      <c r="D592" s="32"/>
      <c r="I592" s="46" t="s">
        <v>97</v>
      </c>
      <c r="J592" s="47">
        <v>2</v>
      </c>
      <c r="K592" s="48"/>
      <c r="L592" s="11"/>
      <c r="O592" s="34"/>
      <c r="P592" s="35"/>
    </row>
    <row r="593" spans="3:16" x14ac:dyDescent="0.25">
      <c r="C593" s="11"/>
      <c r="D593" s="32"/>
      <c r="I593" s="46" t="s">
        <v>98</v>
      </c>
      <c r="J593" s="47">
        <v>1</v>
      </c>
      <c r="K593" s="48"/>
      <c r="L593" s="11"/>
      <c r="O593" s="34"/>
      <c r="P593" s="35"/>
    </row>
    <row r="594" spans="3:16" x14ac:dyDescent="0.25">
      <c r="C594" s="11"/>
      <c r="D594" s="32"/>
      <c r="I594" s="46" t="s">
        <v>1041</v>
      </c>
      <c r="J594" s="47">
        <v>2</v>
      </c>
      <c r="K594" s="48"/>
      <c r="L594" s="11"/>
      <c r="O594" s="34"/>
      <c r="P594" s="35"/>
    </row>
    <row r="595" spans="3:16" x14ac:dyDescent="0.25">
      <c r="C595" s="11"/>
      <c r="D595" s="32"/>
      <c r="I595" s="46" t="s">
        <v>1042</v>
      </c>
      <c r="J595" s="47">
        <v>3</v>
      </c>
      <c r="K595" s="48"/>
      <c r="L595" s="11"/>
      <c r="O595" s="34"/>
      <c r="P595" s="35"/>
    </row>
    <row r="596" spans="3:16" x14ac:dyDescent="0.25">
      <c r="C596" s="11"/>
      <c r="D596" s="32"/>
      <c r="I596" s="46" t="s">
        <v>1043</v>
      </c>
      <c r="J596" s="47">
        <v>1</v>
      </c>
      <c r="K596" s="48"/>
      <c r="L596" s="11"/>
      <c r="O596" s="34"/>
      <c r="P596" s="35"/>
    </row>
    <row r="597" spans="3:16" x14ac:dyDescent="0.25">
      <c r="C597" s="11"/>
      <c r="D597" s="32"/>
      <c r="I597" s="46" t="s">
        <v>1044</v>
      </c>
      <c r="J597" s="47">
        <v>1</v>
      </c>
      <c r="K597" s="48"/>
      <c r="L597" s="11"/>
      <c r="O597" s="34"/>
      <c r="P597" s="35"/>
    </row>
    <row r="598" spans="3:16" x14ac:dyDescent="0.25">
      <c r="C598" s="11"/>
      <c r="D598" s="32"/>
      <c r="I598" s="46" t="s">
        <v>1045</v>
      </c>
      <c r="J598" s="47">
        <v>1</v>
      </c>
      <c r="K598" s="48"/>
      <c r="L598" s="11"/>
      <c r="O598" s="34"/>
      <c r="P598" s="35"/>
    </row>
    <row r="599" spans="3:16" x14ac:dyDescent="0.25">
      <c r="C599" s="11"/>
      <c r="D599" s="32"/>
      <c r="I599" s="46" t="s">
        <v>1046</v>
      </c>
      <c r="J599" s="47">
        <v>1</v>
      </c>
      <c r="K599" s="48"/>
      <c r="L599" s="11"/>
      <c r="O599" s="34"/>
      <c r="P599" s="35"/>
    </row>
    <row r="600" spans="3:16" x14ac:dyDescent="0.25">
      <c r="C600" s="11"/>
      <c r="D600" s="32"/>
      <c r="I600" s="46" t="s">
        <v>1047</v>
      </c>
      <c r="J600" s="47">
        <v>2</v>
      </c>
      <c r="K600" s="48"/>
      <c r="L600" s="11"/>
      <c r="O600" s="34"/>
      <c r="P600" s="35"/>
    </row>
    <row r="601" spans="3:16" x14ac:dyDescent="0.25">
      <c r="C601" s="11"/>
      <c r="D601" s="32"/>
      <c r="I601" s="46" t="s">
        <v>1048</v>
      </c>
      <c r="J601" s="47">
        <v>1</v>
      </c>
      <c r="K601" s="48"/>
      <c r="L601" s="11"/>
      <c r="O601" s="34"/>
      <c r="P601" s="35"/>
    </row>
    <row r="602" spans="3:16" x14ac:dyDescent="0.25">
      <c r="C602" s="11"/>
      <c r="D602" s="32"/>
      <c r="I602" s="46" t="s">
        <v>1049</v>
      </c>
      <c r="J602" s="47">
        <v>2</v>
      </c>
      <c r="K602" s="48"/>
      <c r="L602" s="11"/>
      <c r="O602" s="34"/>
      <c r="P602" s="35"/>
    </row>
    <row r="603" spans="3:16" x14ac:dyDescent="0.25">
      <c r="C603" s="11"/>
      <c r="D603" s="32"/>
      <c r="I603" s="46" t="s">
        <v>1050</v>
      </c>
      <c r="J603" s="47">
        <v>3</v>
      </c>
      <c r="K603" s="48" t="s">
        <v>3</v>
      </c>
      <c r="L603" s="11"/>
      <c r="O603" s="34"/>
      <c r="P603" s="35"/>
    </row>
    <row r="604" spans="3:16" x14ac:dyDescent="0.25">
      <c r="C604" s="11"/>
      <c r="D604" s="32"/>
      <c r="I604" s="46" t="s">
        <v>1051</v>
      </c>
      <c r="J604" s="47">
        <v>1</v>
      </c>
      <c r="K604" s="48"/>
      <c r="L604" s="11"/>
      <c r="O604" s="34"/>
      <c r="P604" s="35"/>
    </row>
    <row r="605" spans="3:16" x14ac:dyDescent="0.25">
      <c r="C605" s="11"/>
      <c r="D605" s="32"/>
      <c r="I605" s="46" t="s">
        <v>1052</v>
      </c>
      <c r="J605" s="47">
        <v>1</v>
      </c>
      <c r="K605" s="48"/>
      <c r="L605" s="11"/>
      <c r="O605" s="34"/>
      <c r="P605" s="35"/>
    </row>
    <row r="606" spans="3:16" x14ac:dyDescent="0.25">
      <c r="C606" s="11"/>
      <c r="D606" s="32"/>
      <c r="I606" s="46" t="s">
        <v>1053</v>
      </c>
      <c r="J606" s="47">
        <v>1</v>
      </c>
      <c r="K606" s="48"/>
      <c r="L606" s="11"/>
      <c r="O606" s="34"/>
      <c r="P606" s="35"/>
    </row>
    <row r="607" spans="3:16" x14ac:dyDescent="0.25">
      <c r="C607" s="11"/>
      <c r="D607" s="32"/>
      <c r="I607" s="46" t="s">
        <v>1054</v>
      </c>
      <c r="J607" s="47">
        <v>1</v>
      </c>
      <c r="K607" s="48"/>
      <c r="L607" s="11"/>
      <c r="O607" s="34"/>
      <c r="P607" s="35"/>
    </row>
    <row r="608" spans="3:16" x14ac:dyDescent="0.25">
      <c r="C608" s="11"/>
      <c r="D608" s="32"/>
      <c r="I608" s="46" t="s">
        <v>1055</v>
      </c>
      <c r="J608" s="47">
        <v>1</v>
      </c>
      <c r="K608" s="48"/>
      <c r="L608" s="11"/>
      <c r="O608" s="34"/>
      <c r="P608" s="35"/>
    </row>
    <row r="609" spans="3:16" x14ac:dyDescent="0.25">
      <c r="C609" s="11"/>
      <c r="D609" s="32"/>
      <c r="I609" s="46" t="s">
        <v>1056</v>
      </c>
      <c r="J609" s="47">
        <v>1</v>
      </c>
      <c r="K609" s="48"/>
      <c r="L609" s="11"/>
      <c r="O609" s="34"/>
      <c r="P609" s="35"/>
    </row>
    <row r="610" spans="3:16" x14ac:dyDescent="0.25">
      <c r="C610" s="11"/>
      <c r="D610" s="32"/>
      <c r="I610" s="46" t="s">
        <v>1057</v>
      </c>
      <c r="J610" s="47">
        <v>1</v>
      </c>
      <c r="K610" s="48"/>
      <c r="L610" s="11"/>
      <c r="O610" s="34"/>
      <c r="P610" s="35"/>
    </row>
    <row r="611" spans="3:16" x14ac:dyDescent="0.25">
      <c r="C611" s="11"/>
      <c r="D611" s="32"/>
      <c r="I611" s="46" t="s">
        <v>1058</v>
      </c>
      <c r="J611" s="47">
        <v>1</v>
      </c>
      <c r="K611" s="48"/>
      <c r="L611" s="11"/>
      <c r="O611" s="34"/>
      <c r="P611" s="35"/>
    </row>
    <row r="612" spans="3:16" x14ac:dyDescent="0.25">
      <c r="C612" s="11"/>
      <c r="D612" s="32"/>
      <c r="I612" s="46" t="s">
        <v>1059</v>
      </c>
      <c r="J612" s="47">
        <v>1</v>
      </c>
      <c r="K612" s="48"/>
      <c r="L612" s="11"/>
      <c r="O612" s="34"/>
      <c r="P612" s="35"/>
    </row>
    <row r="613" spans="3:16" x14ac:dyDescent="0.25">
      <c r="C613" s="11"/>
      <c r="D613" s="32"/>
      <c r="I613" s="46" t="s">
        <v>1060</v>
      </c>
      <c r="J613" s="47">
        <v>1</v>
      </c>
      <c r="K613" s="48"/>
      <c r="L613" s="11"/>
      <c r="O613" s="34"/>
      <c r="P613" s="35"/>
    </row>
    <row r="614" spans="3:16" x14ac:dyDescent="0.25">
      <c r="C614" s="11"/>
      <c r="D614" s="32"/>
      <c r="I614" s="46" t="s">
        <v>1061</v>
      </c>
      <c r="J614" s="47">
        <v>1</v>
      </c>
      <c r="K614" s="48"/>
      <c r="L614" s="11"/>
      <c r="O614" s="34"/>
      <c r="P614" s="35"/>
    </row>
    <row r="615" spans="3:16" x14ac:dyDescent="0.25">
      <c r="C615" s="11"/>
      <c r="D615" s="32"/>
      <c r="I615" s="46" t="s">
        <v>1062</v>
      </c>
      <c r="J615" s="47">
        <v>1</v>
      </c>
      <c r="K615" s="48"/>
      <c r="L615" s="11"/>
      <c r="O615" s="34"/>
      <c r="P615" s="35"/>
    </row>
    <row r="616" spans="3:16" x14ac:dyDescent="0.25">
      <c r="C616" s="11"/>
      <c r="D616" s="32"/>
      <c r="I616" s="46" t="s">
        <v>350</v>
      </c>
      <c r="J616" s="47">
        <v>1</v>
      </c>
      <c r="K616" s="48"/>
      <c r="L616" s="11"/>
      <c r="O616" s="34"/>
      <c r="P616" s="35"/>
    </row>
    <row r="617" spans="3:16" x14ac:dyDescent="0.25">
      <c r="C617" s="11"/>
      <c r="D617" s="32"/>
      <c r="I617" s="46" t="s">
        <v>1063</v>
      </c>
      <c r="J617" s="47">
        <v>3</v>
      </c>
      <c r="K617" s="48"/>
      <c r="L617" s="11"/>
      <c r="O617" s="34"/>
      <c r="P617" s="35"/>
    </row>
    <row r="618" spans="3:16" x14ac:dyDescent="0.25">
      <c r="C618" s="11"/>
      <c r="D618" s="32"/>
      <c r="I618" s="46" t="s">
        <v>1064</v>
      </c>
      <c r="J618" s="47">
        <v>1</v>
      </c>
      <c r="K618" s="48"/>
      <c r="L618" s="11"/>
      <c r="O618" s="34"/>
      <c r="P618" s="35"/>
    </row>
    <row r="619" spans="3:16" x14ac:dyDescent="0.25">
      <c r="C619" s="11"/>
      <c r="D619" s="32"/>
      <c r="I619" s="46" t="s">
        <v>1065</v>
      </c>
      <c r="J619" s="47">
        <v>2</v>
      </c>
      <c r="K619" s="48"/>
      <c r="L619" s="11"/>
      <c r="O619" s="34"/>
      <c r="P619" s="35"/>
    </row>
    <row r="620" spans="3:16" x14ac:dyDescent="0.25">
      <c r="C620" s="11"/>
      <c r="D620" s="32"/>
      <c r="I620" s="46" t="s">
        <v>1066</v>
      </c>
      <c r="J620" s="47">
        <v>1</v>
      </c>
      <c r="K620" s="48"/>
      <c r="L620" s="11"/>
      <c r="O620" s="34"/>
      <c r="P620" s="35"/>
    </row>
    <row r="621" spans="3:16" x14ac:dyDescent="0.25">
      <c r="C621" s="11"/>
      <c r="D621" s="32"/>
      <c r="I621" s="46" t="s">
        <v>1067</v>
      </c>
      <c r="J621" s="47">
        <v>1</v>
      </c>
      <c r="K621" s="48"/>
      <c r="L621" s="11"/>
      <c r="O621" s="34"/>
      <c r="P621" s="35"/>
    </row>
    <row r="622" spans="3:16" x14ac:dyDescent="0.25">
      <c r="C622" s="11"/>
      <c r="D622" s="32"/>
      <c r="I622" s="46" t="s">
        <v>1213</v>
      </c>
      <c r="J622" s="47">
        <v>1</v>
      </c>
      <c r="K622" s="48"/>
      <c r="L622" s="11"/>
      <c r="O622" s="34"/>
      <c r="P622" s="35"/>
    </row>
    <row r="623" spans="3:16" x14ac:dyDescent="0.25">
      <c r="C623" s="11"/>
      <c r="D623" s="32"/>
      <c r="I623" s="46" t="s">
        <v>1068</v>
      </c>
      <c r="J623" s="47">
        <v>3</v>
      </c>
      <c r="K623" s="48"/>
      <c r="L623" s="11"/>
      <c r="O623" s="34"/>
      <c r="P623" s="35"/>
    </row>
    <row r="624" spans="3:16" x14ac:dyDescent="0.25">
      <c r="C624" s="11"/>
      <c r="D624" s="32"/>
      <c r="I624" s="46" t="s">
        <v>1069</v>
      </c>
      <c r="J624" s="47">
        <v>3</v>
      </c>
      <c r="K624" s="48"/>
      <c r="L624" s="11"/>
      <c r="O624" s="34"/>
      <c r="P624" s="35"/>
    </row>
    <row r="625" spans="3:16" x14ac:dyDescent="0.25">
      <c r="C625" s="11"/>
      <c r="D625" s="32"/>
      <c r="I625" s="46" t="s">
        <v>351</v>
      </c>
      <c r="J625" s="47">
        <v>3</v>
      </c>
      <c r="K625" s="48"/>
      <c r="L625" s="11"/>
      <c r="O625" s="34"/>
      <c r="P625" s="35"/>
    </row>
    <row r="626" spans="3:16" x14ac:dyDescent="0.25">
      <c r="C626" s="11"/>
      <c r="D626" s="32"/>
      <c r="I626" s="46" t="s">
        <v>1070</v>
      </c>
      <c r="J626" s="47">
        <v>3</v>
      </c>
      <c r="K626" s="48"/>
      <c r="L626" s="11"/>
      <c r="O626" s="34"/>
      <c r="P626" s="35"/>
    </row>
    <row r="627" spans="3:16" x14ac:dyDescent="0.25">
      <c r="C627" s="11"/>
      <c r="D627" s="32"/>
      <c r="I627" s="46" t="s">
        <v>1071</v>
      </c>
      <c r="J627" s="47">
        <v>1</v>
      </c>
      <c r="K627" s="48"/>
      <c r="L627" s="11"/>
      <c r="O627" s="34"/>
      <c r="P627" s="35"/>
    </row>
    <row r="628" spans="3:16" x14ac:dyDescent="0.25">
      <c r="C628" s="11"/>
      <c r="D628" s="32"/>
      <c r="I628" s="46" t="s">
        <v>1072</v>
      </c>
      <c r="J628" s="47">
        <v>1</v>
      </c>
      <c r="K628" s="48"/>
      <c r="L628" s="11"/>
      <c r="O628" s="34"/>
      <c r="P628" s="35"/>
    </row>
    <row r="629" spans="3:16" x14ac:dyDescent="0.25">
      <c r="C629" s="11"/>
      <c r="D629" s="32"/>
      <c r="I629" s="46" t="s">
        <v>1073</v>
      </c>
      <c r="J629" s="47">
        <v>1</v>
      </c>
      <c r="K629" s="48"/>
      <c r="L629" s="11"/>
      <c r="O629" s="34"/>
      <c r="P629" s="35"/>
    </row>
    <row r="630" spans="3:16" x14ac:dyDescent="0.25">
      <c r="C630" s="11"/>
      <c r="D630" s="32"/>
      <c r="I630" s="46" t="s">
        <v>1074</v>
      </c>
      <c r="J630" s="47">
        <v>1</v>
      </c>
      <c r="K630" s="48"/>
      <c r="L630" s="11"/>
      <c r="O630" s="34"/>
      <c r="P630" s="35"/>
    </row>
    <row r="631" spans="3:16" x14ac:dyDescent="0.25">
      <c r="C631" s="11"/>
      <c r="D631" s="32"/>
      <c r="I631" s="46" t="s">
        <v>1075</v>
      </c>
      <c r="J631" s="47">
        <v>1</v>
      </c>
      <c r="K631" s="48"/>
      <c r="L631" s="11"/>
      <c r="O631" s="34"/>
      <c r="P631" s="35"/>
    </row>
    <row r="632" spans="3:16" x14ac:dyDescent="0.25">
      <c r="C632" s="11"/>
      <c r="D632" s="32"/>
      <c r="I632" s="46" t="s">
        <v>1076</v>
      </c>
      <c r="J632" s="47">
        <v>1</v>
      </c>
      <c r="K632" s="48"/>
      <c r="L632" s="11"/>
      <c r="O632" s="34"/>
      <c r="P632" s="35"/>
    </row>
    <row r="633" spans="3:16" x14ac:dyDescent="0.25">
      <c r="C633" s="11"/>
      <c r="D633" s="32"/>
      <c r="I633" s="46" t="s">
        <v>1077</v>
      </c>
      <c r="J633" s="47">
        <v>1</v>
      </c>
      <c r="K633" s="48"/>
      <c r="L633" s="11"/>
      <c r="O633" s="34"/>
      <c r="P633" s="35"/>
    </row>
    <row r="634" spans="3:16" x14ac:dyDescent="0.25">
      <c r="C634" s="11"/>
      <c r="D634" s="32"/>
      <c r="I634" s="46" t="s">
        <v>1078</v>
      </c>
      <c r="J634" s="47">
        <v>1</v>
      </c>
      <c r="K634" s="48"/>
      <c r="L634" s="11"/>
      <c r="O634" s="34"/>
      <c r="P634" s="35"/>
    </row>
    <row r="635" spans="3:16" x14ac:dyDescent="0.25">
      <c r="C635" s="11"/>
      <c r="D635" s="32"/>
      <c r="I635" s="46" t="s">
        <v>1079</v>
      </c>
      <c r="J635" s="47">
        <v>1</v>
      </c>
      <c r="K635" s="48"/>
      <c r="L635" s="11"/>
      <c r="O635" s="34"/>
      <c r="P635" s="35"/>
    </row>
    <row r="636" spans="3:16" x14ac:dyDescent="0.25">
      <c r="C636" s="11"/>
      <c r="D636" s="32"/>
      <c r="I636" s="46" t="s">
        <v>1080</v>
      </c>
      <c r="J636" s="47">
        <v>1</v>
      </c>
      <c r="K636" s="48"/>
      <c r="L636" s="11"/>
      <c r="O636" s="34"/>
      <c r="P636" s="35"/>
    </row>
    <row r="637" spans="3:16" x14ac:dyDescent="0.25">
      <c r="C637" s="11"/>
      <c r="D637" s="32"/>
      <c r="I637" s="46" t="s">
        <v>1081</v>
      </c>
      <c r="J637" s="47">
        <v>3</v>
      </c>
      <c r="K637" s="48" t="s">
        <v>3</v>
      </c>
      <c r="L637" s="11"/>
      <c r="O637" s="34"/>
      <c r="P637" s="35"/>
    </row>
    <row r="638" spans="3:16" x14ac:dyDescent="0.25">
      <c r="C638" s="11"/>
      <c r="D638" s="32"/>
      <c r="I638" s="46" t="s">
        <v>1082</v>
      </c>
      <c r="J638" s="47">
        <v>1</v>
      </c>
      <c r="K638" s="48"/>
      <c r="L638" s="11"/>
      <c r="O638" s="34"/>
      <c r="P638" s="35"/>
    </row>
    <row r="639" spans="3:16" x14ac:dyDescent="0.25">
      <c r="C639" s="11"/>
      <c r="D639" s="32"/>
      <c r="I639" s="46" t="s">
        <v>1083</v>
      </c>
      <c r="J639" s="47">
        <v>1</v>
      </c>
      <c r="K639" s="48"/>
      <c r="L639" s="11"/>
      <c r="O639" s="34"/>
      <c r="P639" s="35"/>
    </row>
    <row r="640" spans="3:16" x14ac:dyDescent="0.25">
      <c r="C640" s="11"/>
      <c r="D640" s="32"/>
      <c r="I640" s="46" t="s">
        <v>1084</v>
      </c>
      <c r="J640" s="47">
        <v>1</v>
      </c>
      <c r="K640" s="48"/>
      <c r="L640" s="11"/>
      <c r="O640" s="34"/>
      <c r="P640" s="35"/>
    </row>
    <row r="641" spans="3:16" x14ac:dyDescent="0.25">
      <c r="C641" s="11"/>
      <c r="D641" s="32"/>
      <c r="I641" s="46" t="s">
        <v>1085</v>
      </c>
      <c r="J641" s="47">
        <v>1</v>
      </c>
      <c r="K641" s="48"/>
      <c r="L641" s="11"/>
      <c r="O641" s="34"/>
      <c r="P641" s="35"/>
    </row>
    <row r="642" spans="3:16" x14ac:dyDescent="0.25">
      <c r="C642" s="11"/>
      <c r="D642" s="32"/>
      <c r="I642" s="46" t="s">
        <v>1086</v>
      </c>
      <c r="J642" s="47">
        <v>1</v>
      </c>
      <c r="K642" s="48"/>
      <c r="L642" s="11"/>
      <c r="O642" s="34"/>
      <c r="P642" s="35"/>
    </row>
    <row r="643" spans="3:16" x14ac:dyDescent="0.25">
      <c r="C643" s="11"/>
      <c r="D643" s="32"/>
      <c r="I643" s="46" t="s">
        <v>352</v>
      </c>
      <c r="J643" s="47">
        <v>1</v>
      </c>
      <c r="K643" s="48"/>
      <c r="L643" s="11"/>
      <c r="O643" s="34"/>
      <c r="P643" s="35"/>
    </row>
    <row r="644" spans="3:16" x14ac:dyDescent="0.25">
      <c r="C644" s="11"/>
      <c r="D644" s="32"/>
      <c r="I644" s="46" t="s">
        <v>1087</v>
      </c>
      <c r="J644" s="47">
        <v>1</v>
      </c>
      <c r="K644" s="48"/>
      <c r="L644" s="11"/>
      <c r="O644" s="34"/>
      <c r="P644" s="35"/>
    </row>
    <row r="645" spans="3:16" x14ac:dyDescent="0.25">
      <c r="C645" s="11"/>
      <c r="D645" s="32"/>
      <c r="I645" s="46" t="s">
        <v>1088</v>
      </c>
      <c r="J645" s="47">
        <v>1</v>
      </c>
      <c r="K645" s="48"/>
      <c r="L645" s="11"/>
      <c r="O645" s="34"/>
      <c r="P645" s="35"/>
    </row>
    <row r="646" spans="3:16" x14ac:dyDescent="0.25">
      <c r="C646" s="11"/>
      <c r="D646" s="32"/>
      <c r="I646" s="46" t="s">
        <v>1089</v>
      </c>
      <c r="J646" s="47">
        <v>1</v>
      </c>
      <c r="K646" s="48"/>
      <c r="L646" s="11"/>
      <c r="O646" s="34"/>
      <c r="P646" s="35"/>
    </row>
    <row r="647" spans="3:16" x14ac:dyDescent="0.25">
      <c r="C647" s="11"/>
      <c r="D647" s="32"/>
      <c r="I647" s="46" t="s">
        <v>1090</v>
      </c>
      <c r="J647" s="47">
        <v>1</v>
      </c>
      <c r="K647" s="48"/>
      <c r="L647" s="11"/>
      <c r="O647" s="34"/>
      <c r="P647" s="35"/>
    </row>
    <row r="648" spans="3:16" x14ac:dyDescent="0.25">
      <c r="C648" s="11"/>
      <c r="D648" s="32"/>
      <c r="I648" s="46" t="s">
        <v>1091</v>
      </c>
      <c r="J648" s="47">
        <v>1</v>
      </c>
      <c r="K648" s="48"/>
      <c r="L648" s="11"/>
      <c r="O648" s="34"/>
      <c r="P648" s="35"/>
    </row>
    <row r="649" spans="3:16" x14ac:dyDescent="0.25">
      <c r="C649" s="11"/>
      <c r="D649" s="32"/>
      <c r="I649" s="46" t="s">
        <v>1092</v>
      </c>
      <c r="J649" s="47">
        <v>1</v>
      </c>
      <c r="K649" s="48"/>
      <c r="L649" s="11"/>
      <c r="O649" s="34"/>
      <c r="P649" s="35"/>
    </row>
    <row r="650" spans="3:16" x14ac:dyDescent="0.25">
      <c r="C650" s="11"/>
      <c r="D650" s="32"/>
      <c r="I650" s="46" t="s">
        <v>353</v>
      </c>
      <c r="J650" s="47">
        <v>1</v>
      </c>
      <c r="K650" s="48"/>
      <c r="L650" s="11"/>
      <c r="O650" s="34"/>
      <c r="P650" s="35"/>
    </row>
    <row r="651" spans="3:16" x14ac:dyDescent="0.25">
      <c r="C651" s="11"/>
      <c r="D651" s="32"/>
      <c r="I651" s="46" t="s">
        <v>1093</v>
      </c>
      <c r="J651" s="47">
        <v>1</v>
      </c>
      <c r="K651" s="48"/>
      <c r="L651" s="11"/>
      <c r="O651" s="34"/>
      <c r="P651" s="35"/>
    </row>
    <row r="652" spans="3:16" x14ac:dyDescent="0.25">
      <c r="C652" s="11"/>
      <c r="D652" s="32"/>
      <c r="I652" s="46" t="s">
        <v>1094</v>
      </c>
      <c r="J652" s="47">
        <v>1</v>
      </c>
      <c r="K652" s="48"/>
      <c r="L652" s="11"/>
      <c r="O652" s="34"/>
      <c r="P652" s="35"/>
    </row>
    <row r="653" spans="3:16" x14ac:dyDescent="0.25">
      <c r="C653" s="11"/>
      <c r="D653" s="32"/>
      <c r="I653" s="46" t="s">
        <v>1095</v>
      </c>
      <c r="J653" s="47">
        <v>1</v>
      </c>
      <c r="K653" s="48"/>
      <c r="L653" s="11"/>
      <c r="O653" s="34"/>
      <c r="P653" s="35"/>
    </row>
    <row r="654" spans="3:16" x14ac:dyDescent="0.25">
      <c r="C654" s="11"/>
      <c r="D654" s="32"/>
      <c r="I654" s="46" t="s">
        <v>1096</v>
      </c>
      <c r="J654" s="47">
        <v>1</v>
      </c>
      <c r="K654" s="48"/>
      <c r="L654" s="11"/>
      <c r="O654" s="34"/>
      <c r="P654" s="35"/>
    </row>
    <row r="655" spans="3:16" x14ac:dyDescent="0.25">
      <c r="C655" s="11"/>
      <c r="D655" s="32"/>
      <c r="I655" s="46" t="s">
        <v>1097</v>
      </c>
      <c r="J655" s="47">
        <v>2</v>
      </c>
      <c r="K655" s="48"/>
      <c r="L655" s="11"/>
      <c r="O655" s="34"/>
      <c r="P655" s="35"/>
    </row>
    <row r="656" spans="3:16" x14ac:dyDescent="0.25">
      <c r="C656" s="11"/>
      <c r="D656" s="32"/>
      <c r="I656" s="46" t="s">
        <v>1098</v>
      </c>
      <c r="J656" s="47">
        <v>2</v>
      </c>
      <c r="K656" s="48"/>
      <c r="L656" s="11"/>
      <c r="O656" s="34"/>
      <c r="P656" s="35"/>
    </row>
    <row r="657" spans="3:16" x14ac:dyDescent="0.25">
      <c r="C657" s="11"/>
      <c r="D657" s="32"/>
      <c r="I657" s="46" t="s">
        <v>1099</v>
      </c>
      <c r="J657" s="47">
        <v>1</v>
      </c>
      <c r="K657" s="48"/>
      <c r="L657" s="11"/>
      <c r="O657" s="34"/>
      <c r="P657" s="35"/>
    </row>
    <row r="658" spans="3:16" x14ac:dyDescent="0.25">
      <c r="C658" s="11"/>
      <c r="D658" s="32"/>
      <c r="I658" s="46" t="s">
        <v>1100</v>
      </c>
      <c r="J658" s="47">
        <v>1</v>
      </c>
      <c r="K658" s="48"/>
      <c r="L658" s="11"/>
      <c r="O658" s="34"/>
      <c r="P658" s="35"/>
    </row>
    <row r="659" spans="3:16" x14ac:dyDescent="0.25">
      <c r="C659" s="11"/>
      <c r="D659" s="32"/>
      <c r="I659" s="46" t="s">
        <v>1101</v>
      </c>
      <c r="J659" s="47">
        <v>1</v>
      </c>
      <c r="K659" s="48"/>
      <c r="L659" s="11"/>
      <c r="O659" s="34"/>
      <c r="P659" s="35"/>
    </row>
    <row r="660" spans="3:16" x14ac:dyDescent="0.25">
      <c r="C660" s="11"/>
      <c r="D660" s="32"/>
      <c r="I660" s="46" t="s">
        <v>100</v>
      </c>
      <c r="J660" s="47">
        <v>1</v>
      </c>
      <c r="K660" s="48"/>
      <c r="L660" s="11"/>
      <c r="O660" s="34"/>
      <c r="P660" s="35"/>
    </row>
    <row r="661" spans="3:16" x14ac:dyDescent="0.25">
      <c r="C661" s="11"/>
      <c r="D661" s="32"/>
      <c r="I661" s="46" t="s">
        <v>1102</v>
      </c>
      <c r="J661" s="47">
        <v>1</v>
      </c>
      <c r="K661" s="48"/>
      <c r="L661" s="11"/>
      <c r="O661" s="34"/>
      <c r="P661" s="35"/>
    </row>
    <row r="662" spans="3:16" x14ac:dyDescent="0.25">
      <c r="C662" s="11"/>
      <c r="D662" s="32"/>
      <c r="I662" s="46" t="s">
        <v>1103</v>
      </c>
      <c r="J662" s="47">
        <v>3</v>
      </c>
      <c r="K662" s="48"/>
      <c r="L662" s="11"/>
      <c r="O662" s="34"/>
      <c r="P662" s="35"/>
    </row>
    <row r="663" spans="3:16" x14ac:dyDescent="0.25">
      <c r="C663" s="11"/>
      <c r="D663" s="32"/>
      <c r="I663" s="46" t="s">
        <v>354</v>
      </c>
      <c r="J663" s="47">
        <v>1</v>
      </c>
      <c r="K663" s="48"/>
      <c r="L663" s="11"/>
      <c r="O663" s="34"/>
      <c r="P663" s="35"/>
    </row>
    <row r="664" spans="3:16" x14ac:dyDescent="0.25">
      <c r="C664" s="11"/>
      <c r="D664" s="32"/>
      <c r="I664" s="46" t="s">
        <v>1104</v>
      </c>
      <c r="J664" s="47">
        <v>1</v>
      </c>
      <c r="K664" s="48"/>
      <c r="L664" s="11"/>
      <c r="O664" s="34"/>
      <c r="P664" s="35"/>
    </row>
    <row r="665" spans="3:16" x14ac:dyDescent="0.25">
      <c r="C665" s="11"/>
      <c r="D665" s="32"/>
      <c r="I665" s="46" t="s">
        <v>1105</v>
      </c>
      <c r="J665" s="47">
        <v>1</v>
      </c>
      <c r="K665" s="48"/>
      <c r="L665" s="11"/>
      <c r="O665" s="34"/>
      <c r="P665" s="35"/>
    </row>
    <row r="666" spans="3:16" x14ac:dyDescent="0.25">
      <c r="C666" s="11"/>
      <c r="D666" s="32"/>
      <c r="I666" s="46" t="s">
        <v>1106</v>
      </c>
      <c r="J666" s="47">
        <v>1</v>
      </c>
      <c r="K666" s="48"/>
      <c r="L666" s="11"/>
      <c r="O666" s="34"/>
      <c r="P666" s="35"/>
    </row>
    <row r="667" spans="3:16" x14ac:dyDescent="0.25">
      <c r="C667" s="11"/>
      <c r="D667" s="32"/>
      <c r="I667" s="46" t="s">
        <v>1107</v>
      </c>
      <c r="J667" s="47">
        <v>1</v>
      </c>
      <c r="K667" s="48"/>
      <c r="L667" s="11"/>
      <c r="O667" s="34"/>
      <c r="P667" s="35"/>
    </row>
    <row r="668" spans="3:16" x14ac:dyDescent="0.25">
      <c r="C668" s="11"/>
      <c r="D668" s="32"/>
      <c r="I668" s="46" t="s">
        <v>1108</v>
      </c>
      <c r="J668" s="47">
        <v>2</v>
      </c>
      <c r="K668" s="48"/>
      <c r="L668" s="11"/>
      <c r="O668" s="34"/>
      <c r="P668" s="35"/>
    </row>
    <row r="669" spans="3:16" x14ac:dyDescent="0.25">
      <c r="C669" s="11"/>
      <c r="D669" s="32"/>
      <c r="I669" s="46" t="s">
        <v>1109</v>
      </c>
      <c r="J669" s="47">
        <v>1</v>
      </c>
      <c r="K669" s="48"/>
      <c r="L669" s="11"/>
      <c r="O669" s="34"/>
      <c r="P669" s="35"/>
    </row>
    <row r="670" spans="3:16" x14ac:dyDescent="0.25">
      <c r="C670" s="11"/>
      <c r="D670" s="32"/>
      <c r="I670" s="46" t="s">
        <v>1110</v>
      </c>
      <c r="J670" s="47">
        <v>1</v>
      </c>
      <c r="K670" s="48"/>
      <c r="L670" s="11"/>
      <c r="O670" s="34"/>
      <c r="P670" s="35"/>
    </row>
    <row r="671" spans="3:16" x14ac:dyDescent="0.25">
      <c r="C671" s="11"/>
      <c r="D671" s="32"/>
      <c r="I671" s="46" t="s">
        <v>1111</v>
      </c>
      <c r="J671" s="47">
        <v>1</v>
      </c>
      <c r="K671" s="48"/>
      <c r="L671" s="11"/>
      <c r="O671" s="34"/>
      <c r="P671" s="35"/>
    </row>
    <row r="672" spans="3:16" x14ac:dyDescent="0.25">
      <c r="C672" s="11"/>
      <c r="D672" s="32"/>
      <c r="I672" s="46" t="s">
        <v>101</v>
      </c>
      <c r="J672" s="47">
        <v>1</v>
      </c>
      <c r="K672" s="48"/>
      <c r="L672" s="11"/>
      <c r="O672" s="34"/>
      <c r="P672" s="35"/>
    </row>
    <row r="673" spans="3:16" x14ac:dyDescent="0.25">
      <c r="C673" s="11"/>
      <c r="D673" s="32"/>
      <c r="I673" s="46" t="s">
        <v>1112</v>
      </c>
      <c r="J673" s="47">
        <v>1</v>
      </c>
      <c r="K673" s="48"/>
      <c r="L673" s="11"/>
      <c r="O673" s="34"/>
      <c r="P673" s="35"/>
    </row>
    <row r="674" spans="3:16" x14ac:dyDescent="0.25">
      <c r="C674" s="11"/>
      <c r="D674" s="32"/>
      <c r="I674" s="46" t="s">
        <v>1113</v>
      </c>
      <c r="J674" s="47">
        <v>3</v>
      </c>
      <c r="K674" s="48"/>
      <c r="L674" s="11"/>
      <c r="O674" s="34"/>
      <c r="P674" s="35"/>
    </row>
    <row r="675" spans="3:16" x14ac:dyDescent="0.25">
      <c r="C675" s="11"/>
      <c r="D675" s="32"/>
      <c r="I675" s="46" t="s">
        <v>1114</v>
      </c>
      <c r="J675" s="47">
        <v>1</v>
      </c>
      <c r="K675" s="48"/>
      <c r="L675" s="11"/>
      <c r="O675" s="34"/>
      <c r="P675" s="35"/>
    </row>
    <row r="676" spans="3:16" x14ac:dyDescent="0.25">
      <c r="C676" s="11"/>
      <c r="D676" s="32"/>
      <c r="I676" s="46" t="s">
        <v>1115</v>
      </c>
      <c r="J676" s="47">
        <v>3</v>
      </c>
      <c r="K676" s="48"/>
      <c r="L676" s="11"/>
      <c r="O676" s="34"/>
      <c r="P676" s="35"/>
    </row>
    <row r="677" spans="3:16" x14ac:dyDescent="0.25">
      <c r="C677" s="11"/>
      <c r="D677" s="32"/>
      <c r="I677" s="46" t="s">
        <v>1116</v>
      </c>
      <c r="J677" s="47">
        <v>1</v>
      </c>
      <c r="K677" s="48"/>
      <c r="L677" s="11"/>
      <c r="O677" s="34"/>
      <c r="P677" s="35"/>
    </row>
    <row r="678" spans="3:16" x14ac:dyDescent="0.25">
      <c r="C678" s="11"/>
      <c r="D678" s="32"/>
      <c r="I678" s="46" t="s">
        <v>1117</v>
      </c>
      <c r="J678" s="47">
        <v>1</v>
      </c>
      <c r="K678" s="48"/>
      <c r="L678" s="11"/>
      <c r="O678" s="34"/>
      <c r="P678" s="35"/>
    </row>
    <row r="679" spans="3:16" x14ac:dyDescent="0.25">
      <c r="C679" s="11"/>
      <c r="D679" s="32"/>
      <c r="I679" s="46" t="s">
        <v>1118</v>
      </c>
      <c r="J679" s="47">
        <v>1</v>
      </c>
      <c r="K679" s="48"/>
      <c r="L679" s="11"/>
      <c r="O679" s="34"/>
      <c r="P679" s="35"/>
    </row>
    <row r="680" spans="3:16" x14ac:dyDescent="0.25">
      <c r="C680" s="11"/>
      <c r="D680" s="32"/>
      <c r="I680" s="46" t="s">
        <v>1119</v>
      </c>
      <c r="J680" s="47">
        <v>1</v>
      </c>
      <c r="K680" s="48"/>
      <c r="L680" s="11"/>
      <c r="O680" s="34"/>
      <c r="P680" s="35"/>
    </row>
    <row r="681" spans="3:16" x14ac:dyDescent="0.25">
      <c r="C681" s="11"/>
      <c r="D681" s="32"/>
      <c r="I681" s="46" t="s">
        <v>1120</v>
      </c>
      <c r="J681" s="47">
        <v>1</v>
      </c>
      <c r="K681" s="48"/>
      <c r="L681" s="11"/>
      <c r="O681" s="34"/>
      <c r="P681" s="35"/>
    </row>
    <row r="682" spans="3:16" x14ac:dyDescent="0.25">
      <c r="C682" s="11"/>
      <c r="D682" s="32"/>
      <c r="I682" s="46" t="s">
        <v>1121</v>
      </c>
      <c r="J682" s="47">
        <v>1</v>
      </c>
      <c r="K682" s="48"/>
      <c r="L682" s="11"/>
      <c r="O682" s="34"/>
      <c r="P682" s="35"/>
    </row>
    <row r="683" spans="3:16" x14ac:dyDescent="0.25">
      <c r="C683" s="11"/>
      <c r="D683" s="32"/>
      <c r="I683" s="46" t="s">
        <v>355</v>
      </c>
      <c r="J683" s="47">
        <v>2</v>
      </c>
      <c r="K683" s="48"/>
      <c r="L683" s="11"/>
      <c r="O683" s="34"/>
      <c r="P683" s="35"/>
    </row>
    <row r="684" spans="3:16" x14ac:dyDescent="0.25">
      <c r="C684" s="11"/>
      <c r="D684" s="32"/>
      <c r="I684" s="46" t="s">
        <v>1122</v>
      </c>
      <c r="J684" s="47">
        <v>1</v>
      </c>
      <c r="K684" s="48"/>
      <c r="L684" s="11"/>
      <c r="O684" s="34"/>
      <c r="P684" s="35"/>
    </row>
    <row r="685" spans="3:16" x14ac:dyDescent="0.25">
      <c r="C685" s="11"/>
      <c r="D685" s="32"/>
      <c r="I685" s="46" t="s">
        <v>1123</v>
      </c>
      <c r="J685" s="47">
        <v>1</v>
      </c>
      <c r="K685" s="48"/>
      <c r="L685" s="11"/>
      <c r="O685" s="34"/>
      <c r="P685" s="35"/>
    </row>
    <row r="686" spans="3:16" x14ac:dyDescent="0.25">
      <c r="C686" s="11"/>
      <c r="D686" s="32"/>
      <c r="I686" s="46" t="s">
        <v>1124</v>
      </c>
      <c r="J686" s="47">
        <v>1</v>
      </c>
      <c r="K686" s="48"/>
      <c r="L686" s="11"/>
      <c r="O686" s="34"/>
      <c r="P686" s="35"/>
    </row>
    <row r="687" spans="3:16" x14ac:dyDescent="0.25">
      <c r="C687" s="11"/>
      <c r="D687" s="32"/>
      <c r="I687" s="46" t="s">
        <v>1125</v>
      </c>
      <c r="J687" s="47">
        <v>2</v>
      </c>
      <c r="K687" s="48"/>
      <c r="L687" s="11"/>
      <c r="O687" s="34"/>
      <c r="P687" s="35"/>
    </row>
    <row r="688" spans="3:16" x14ac:dyDescent="0.25">
      <c r="C688" s="11"/>
      <c r="D688" s="32"/>
      <c r="I688" s="46" t="s">
        <v>1126</v>
      </c>
      <c r="J688" s="47">
        <v>1</v>
      </c>
      <c r="K688" s="48"/>
      <c r="L688" s="11"/>
      <c r="O688" s="34"/>
      <c r="P688" s="35"/>
    </row>
    <row r="689" spans="3:16" x14ac:dyDescent="0.25">
      <c r="C689" s="11"/>
      <c r="D689" s="32"/>
      <c r="I689" s="46" t="s">
        <v>1127</v>
      </c>
      <c r="J689" s="47">
        <v>1</v>
      </c>
      <c r="K689" s="48"/>
      <c r="L689" s="11"/>
      <c r="O689" s="34"/>
      <c r="P689" s="35"/>
    </row>
    <row r="690" spans="3:16" x14ac:dyDescent="0.25">
      <c r="C690" s="11"/>
      <c r="D690" s="32"/>
      <c r="I690" s="46" t="s">
        <v>1128</v>
      </c>
      <c r="J690" s="47">
        <v>1</v>
      </c>
      <c r="K690" s="48"/>
      <c r="L690" s="11"/>
      <c r="O690" s="34"/>
      <c r="P690" s="35"/>
    </row>
    <row r="691" spans="3:16" x14ac:dyDescent="0.25">
      <c r="C691" s="11"/>
      <c r="D691" s="32"/>
      <c r="I691" s="46" t="s">
        <v>1129</v>
      </c>
      <c r="J691" s="47">
        <v>1</v>
      </c>
      <c r="K691" s="48"/>
      <c r="L691" s="11"/>
      <c r="O691" s="34"/>
      <c r="P691" s="35"/>
    </row>
    <row r="692" spans="3:16" x14ac:dyDescent="0.25">
      <c r="C692" s="11"/>
      <c r="D692" s="32"/>
      <c r="I692" s="46" t="s">
        <v>102</v>
      </c>
      <c r="J692" s="47">
        <v>1</v>
      </c>
      <c r="K692" s="48"/>
      <c r="L692" s="11"/>
      <c r="O692" s="34"/>
      <c r="P692" s="35"/>
    </row>
    <row r="693" spans="3:16" x14ac:dyDescent="0.25">
      <c r="C693" s="11"/>
      <c r="D693" s="32"/>
      <c r="I693" s="46" t="s">
        <v>1130</v>
      </c>
      <c r="J693" s="47">
        <v>2</v>
      </c>
      <c r="K693" s="48"/>
      <c r="L693" s="11"/>
      <c r="O693" s="34"/>
      <c r="P693" s="35"/>
    </row>
    <row r="694" spans="3:16" x14ac:dyDescent="0.25">
      <c r="C694" s="11"/>
      <c r="D694" s="32"/>
      <c r="I694" s="46" t="s">
        <v>1131</v>
      </c>
      <c r="J694" s="47">
        <v>1</v>
      </c>
      <c r="K694" s="48"/>
      <c r="L694" s="11"/>
      <c r="O694" s="34"/>
      <c r="P694" s="35"/>
    </row>
    <row r="695" spans="3:16" x14ac:dyDescent="0.25">
      <c r="C695" s="11"/>
      <c r="D695" s="32"/>
      <c r="I695" s="46" t="s">
        <v>1132</v>
      </c>
      <c r="J695" s="47">
        <v>3</v>
      </c>
      <c r="K695" s="48" t="s">
        <v>3</v>
      </c>
      <c r="L695" s="11"/>
      <c r="O695" s="34"/>
      <c r="P695" s="35"/>
    </row>
    <row r="696" spans="3:16" x14ac:dyDescent="0.25">
      <c r="C696" s="11"/>
      <c r="D696" s="32"/>
      <c r="I696" s="46" t="s">
        <v>1133</v>
      </c>
      <c r="J696" s="47">
        <v>3</v>
      </c>
      <c r="K696" s="48" t="s">
        <v>3</v>
      </c>
      <c r="L696" s="11"/>
      <c r="O696" s="34"/>
      <c r="P696" s="35"/>
    </row>
    <row r="697" spans="3:16" x14ac:dyDescent="0.25">
      <c r="C697" s="11"/>
      <c r="D697" s="32"/>
      <c r="I697" s="46" t="s">
        <v>1134</v>
      </c>
      <c r="J697" s="47">
        <v>1</v>
      </c>
      <c r="K697" s="48"/>
      <c r="L697" s="11"/>
      <c r="O697" s="34"/>
      <c r="P697" s="35"/>
    </row>
    <row r="698" spans="3:16" x14ac:dyDescent="0.25">
      <c r="C698" s="11"/>
      <c r="D698" s="32"/>
      <c r="I698" s="46" t="s">
        <v>1135</v>
      </c>
      <c r="J698" s="47">
        <v>1</v>
      </c>
      <c r="K698" s="48"/>
      <c r="L698" s="11"/>
      <c r="O698" s="34"/>
      <c r="P698" s="35"/>
    </row>
    <row r="699" spans="3:16" x14ac:dyDescent="0.25">
      <c r="C699" s="11"/>
      <c r="D699" s="32"/>
      <c r="I699" s="46" t="s">
        <v>356</v>
      </c>
      <c r="J699" s="47">
        <v>3</v>
      </c>
      <c r="K699" s="48"/>
      <c r="L699" s="11"/>
      <c r="O699" s="34"/>
      <c r="P699" s="35"/>
    </row>
    <row r="700" spans="3:16" x14ac:dyDescent="0.25">
      <c r="C700" s="11"/>
      <c r="D700" s="32"/>
      <c r="I700" s="46" t="s">
        <v>1136</v>
      </c>
      <c r="J700" s="47">
        <v>1</v>
      </c>
      <c r="K700" s="48"/>
      <c r="L700" s="11"/>
      <c r="O700" s="34"/>
      <c r="P700" s="35"/>
    </row>
    <row r="701" spans="3:16" x14ac:dyDescent="0.25">
      <c r="C701" s="11"/>
      <c r="D701" s="32"/>
      <c r="I701" s="46" t="s">
        <v>1137</v>
      </c>
      <c r="J701" s="47">
        <v>1</v>
      </c>
      <c r="K701" s="48"/>
      <c r="L701" s="11"/>
      <c r="O701" s="34"/>
      <c r="P701" s="35"/>
    </row>
    <row r="702" spans="3:16" x14ac:dyDescent="0.25">
      <c r="C702" s="11"/>
      <c r="D702" s="32"/>
      <c r="I702" s="46" t="s">
        <v>1138</v>
      </c>
      <c r="J702" s="47">
        <v>1</v>
      </c>
      <c r="K702" s="48"/>
      <c r="L702" s="11"/>
      <c r="O702" s="34"/>
      <c r="P702" s="35"/>
    </row>
    <row r="703" spans="3:16" x14ac:dyDescent="0.25">
      <c r="C703" s="11"/>
      <c r="D703" s="32"/>
      <c r="I703" s="46" t="s">
        <v>1139</v>
      </c>
      <c r="J703" s="47">
        <v>1</v>
      </c>
      <c r="K703" s="48"/>
      <c r="L703" s="11"/>
      <c r="O703" s="34"/>
      <c r="P703" s="35"/>
    </row>
    <row r="704" spans="3:16" x14ac:dyDescent="0.25">
      <c r="C704" s="11"/>
      <c r="D704" s="32"/>
      <c r="I704" s="46" t="s">
        <v>1140</v>
      </c>
      <c r="J704" s="47">
        <v>1</v>
      </c>
      <c r="K704" s="48"/>
      <c r="L704" s="11"/>
      <c r="O704" s="34"/>
      <c r="P704" s="35"/>
    </row>
    <row r="705" spans="3:16" x14ac:dyDescent="0.25">
      <c r="C705" s="11"/>
      <c r="D705" s="32"/>
      <c r="I705" s="46" t="s">
        <v>1141</v>
      </c>
      <c r="J705" s="47">
        <v>1</v>
      </c>
      <c r="K705" s="48"/>
      <c r="L705" s="11"/>
      <c r="O705" s="34"/>
      <c r="P705" s="35"/>
    </row>
    <row r="706" spans="3:16" x14ac:dyDescent="0.25">
      <c r="C706" s="11"/>
      <c r="D706" s="32"/>
      <c r="I706" s="46" t="s">
        <v>357</v>
      </c>
      <c r="J706" s="47">
        <v>1</v>
      </c>
      <c r="K706" s="48"/>
      <c r="L706" s="11"/>
      <c r="O706" s="34"/>
      <c r="P706" s="35"/>
    </row>
    <row r="707" spans="3:16" x14ac:dyDescent="0.25">
      <c r="C707" s="11"/>
      <c r="D707" s="32"/>
      <c r="I707" s="46" t="s">
        <v>1142</v>
      </c>
      <c r="J707" s="47">
        <v>1</v>
      </c>
      <c r="K707" s="48"/>
      <c r="L707" s="11"/>
      <c r="O707" s="34"/>
      <c r="P707" s="35"/>
    </row>
    <row r="708" spans="3:16" x14ac:dyDescent="0.25">
      <c r="C708" s="11"/>
      <c r="D708" s="32"/>
      <c r="I708" s="46" t="s">
        <v>1143</v>
      </c>
      <c r="J708" s="47">
        <v>1</v>
      </c>
      <c r="K708" s="48"/>
      <c r="L708" s="11"/>
      <c r="O708" s="34"/>
      <c r="P708" s="35"/>
    </row>
    <row r="709" spans="3:16" x14ac:dyDescent="0.25">
      <c r="C709" s="11"/>
      <c r="D709" s="32"/>
      <c r="I709" s="46" t="s">
        <v>1144</v>
      </c>
      <c r="J709" s="47">
        <v>3</v>
      </c>
      <c r="K709" s="48"/>
      <c r="L709" s="11"/>
      <c r="O709" s="34"/>
      <c r="P709" s="35"/>
    </row>
    <row r="710" spans="3:16" x14ac:dyDescent="0.25">
      <c r="C710" s="11"/>
      <c r="D710" s="32"/>
      <c r="I710" s="46" t="s">
        <v>1145</v>
      </c>
      <c r="J710" s="47">
        <v>1</v>
      </c>
      <c r="K710" s="48"/>
      <c r="L710" s="11"/>
      <c r="O710" s="34"/>
      <c r="P710" s="35"/>
    </row>
    <row r="711" spans="3:16" x14ac:dyDescent="0.25">
      <c r="C711" s="11"/>
      <c r="D711" s="32"/>
      <c r="I711" s="46" t="s">
        <v>1146</v>
      </c>
      <c r="J711" s="47">
        <v>3</v>
      </c>
      <c r="K711" s="48"/>
      <c r="L711" s="11"/>
      <c r="O711" s="34"/>
      <c r="P711" s="35"/>
    </row>
    <row r="712" spans="3:16" x14ac:dyDescent="0.25">
      <c r="C712" s="11"/>
      <c r="D712" s="32"/>
      <c r="I712" s="46" t="s">
        <v>1147</v>
      </c>
      <c r="J712" s="47">
        <v>1</v>
      </c>
      <c r="K712" s="48"/>
      <c r="L712" s="11"/>
      <c r="O712" s="34"/>
      <c r="P712" s="35"/>
    </row>
    <row r="713" spans="3:16" x14ac:dyDescent="0.25">
      <c r="C713" s="11"/>
      <c r="D713" s="32"/>
      <c r="I713" s="46" t="s">
        <v>1148</v>
      </c>
      <c r="J713" s="47">
        <v>2</v>
      </c>
      <c r="K713" s="48"/>
      <c r="L713" s="11"/>
      <c r="O713" s="34"/>
      <c r="P713" s="35"/>
    </row>
    <row r="714" spans="3:16" x14ac:dyDescent="0.25">
      <c r="C714" s="11"/>
      <c r="D714" s="32"/>
      <c r="I714" s="46" t="s">
        <v>1149</v>
      </c>
      <c r="J714" s="47">
        <v>1</v>
      </c>
      <c r="K714" s="48"/>
      <c r="L714" s="11"/>
      <c r="O714" s="34"/>
      <c r="P714" s="35"/>
    </row>
    <row r="715" spans="3:16" x14ac:dyDescent="0.25">
      <c r="C715" s="11"/>
      <c r="D715" s="32"/>
      <c r="I715" s="46" t="s">
        <v>1150</v>
      </c>
      <c r="J715" s="47">
        <v>1</v>
      </c>
      <c r="K715" s="48"/>
      <c r="L715" s="11"/>
      <c r="O715" s="34"/>
      <c r="P715" s="35"/>
    </row>
    <row r="716" spans="3:16" x14ac:dyDescent="0.25">
      <c r="C716" s="11"/>
      <c r="D716" s="32"/>
      <c r="I716" s="46" t="s">
        <v>1151</v>
      </c>
      <c r="J716" s="47">
        <v>1</v>
      </c>
      <c r="K716" s="48"/>
      <c r="L716" s="11"/>
      <c r="O716" s="34"/>
      <c r="P716" s="35"/>
    </row>
    <row r="717" spans="3:16" x14ac:dyDescent="0.25">
      <c r="C717" s="11"/>
      <c r="D717" s="32"/>
      <c r="I717" s="46" t="s">
        <v>1152</v>
      </c>
      <c r="J717" s="47">
        <v>3</v>
      </c>
      <c r="K717" s="48" t="s">
        <v>3</v>
      </c>
      <c r="L717" s="11"/>
      <c r="O717" s="34"/>
      <c r="P717" s="35"/>
    </row>
    <row r="718" spans="3:16" x14ac:dyDescent="0.25">
      <c r="C718" s="11"/>
      <c r="D718" s="32"/>
      <c r="I718" s="46" t="s">
        <v>1153</v>
      </c>
      <c r="J718" s="47">
        <v>1</v>
      </c>
      <c r="K718" s="48"/>
      <c r="L718" s="11"/>
      <c r="O718" s="34"/>
      <c r="P718" s="35"/>
    </row>
    <row r="719" spans="3:16" x14ac:dyDescent="0.25">
      <c r="C719" s="11"/>
      <c r="D719" s="32"/>
      <c r="I719" s="46" t="s">
        <v>1154</v>
      </c>
      <c r="J719" s="47">
        <v>1</v>
      </c>
      <c r="K719" s="48"/>
      <c r="L719" s="11"/>
      <c r="O719" s="34"/>
      <c r="P719" s="35"/>
    </row>
    <row r="720" spans="3:16" x14ac:dyDescent="0.25">
      <c r="C720" s="11"/>
      <c r="D720" s="32"/>
      <c r="I720" s="46" t="s">
        <v>1155</v>
      </c>
      <c r="J720" s="47">
        <v>1</v>
      </c>
      <c r="K720" s="48"/>
      <c r="L720" s="11"/>
      <c r="O720" s="34"/>
      <c r="P720" s="35"/>
    </row>
    <row r="721" spans="3:16" x14ac:dyDescent="0.25">
      <c r="C721" s="11"/>
      <c r="D721" s="32"/>
      <c r="I721" s="46" t="s">
        <v>1156</v>
      </c>
      <c r="J721" s="47">
        <v>1</v>
      </c>
      <c r="K721" s="48"/>
      <c r="L721" s="11"/>
      <c r="O721" s="34"/>
      <c r="P721" s="35"/>
    </row>
    <row r="722" spans="3:16" x14ac:dyDescent="0.25">
      <c r="C722" s="11"/>
      <c r="D722" s="32"/>
      <c r="I722" s="46" t="s">
        <v>1157</v>
      </c>
      <c r="J722" s="47">
        <v>1</v>
      </c>
      <c r="K722" s="48"/>
      <c r="L722" s="11"/>
      <c r="O722" s="34"/>
      <c r="P722" s="35"/>
    </row>
    <row r="723" spans="3:16" x14ac:dyDescent="0.25">
      <c r="C723" s="11"/>
      <c r="D723" s="32"/>
      <c r="I723" s="46" t="s">
        <v>358</v>
      </c>
      <c r="J723" s="47">
        <v>3</v>
      </c>
      <c r="K723" s="48"/>
      <c r="L723" s="11"/>
      <c r="O723" s="34"/>
      <c r="P723" s="35"/>
    </row>
    <row r="724" spans="3:16" x14ac:dyDescent="0.25">
      <c r="C724" s="11"/>
      <c r="D724" s="32"/>
      <c r="I724" s="46" t="s">
        <v>1158</v>
      </c>
      <c r="J724" s="47">
        <v>2</v>
      </c>
      <c r="K724" s="48"/>
      <c r="L724" s="11"/>
      <c r="O724" s="34"/>
      <c r="P724" s="35"/>
    </row>
    <row r="725" spans="3:16" x14ac:dyDescent="0.25">
      <c r="C725" s="11"/>
      <c r="D725" s="32"/>
      <c r="I725" s="46" t="s">
        <v>1159</v>
      </c>
      <c r="J725" s="47">
        <v>1</v>
      </c>
      <c r="K725" s="48"/>
      <c r="L725" s="11"/>
      <c r="O725" s="34"/>
      <c r="P725" s="35"/>
    </row>
    <row r="726" spans="3:16" x14ac:dyDescent="0.25">
      <c r="C726" s="11"/>
      <c r="D726" s="32"/>
      <c r="I726" s="46" t="s">
        <v>104</v>
      </c>
      <c r="J726" s="47">
        <v>1</v>
      </c>
      <c r="K726" s="48"/>
      <c r="L726" s="11"/>
      <c r="O726" s="34"/>
      <c r="P726" s="35"/>
    </row>
    <row r="727" spans="3:16" x14ac:dyDescent="0.25">
      <c r="C727" s="11"/>
      <c r="D727" s="32"/>
      <c r="I727" s="46" t="s">
        <v>1160</v>
      </c>
      <c r="J727" s="47">
        <v>1</v>
      </c>
      <c r="K727" s="48"/>
      <c r="L727" s="11"/>
      <c r="O727" s="34"/>
      <c r="P727" s="35"/>
    </row>
    <row r="728" spans="3:16" x14ac:dyDescent="0.25">
      <c r="C728" s="11"/>
      <c r="D728" s="32"/>
      <c r="I728" s="46" t="s">
        <v>1161</v>
      </c>
      <c r="J728" s="47">
        <v>1</v>
      </c>
      <c r="K728" s="48"/>
      <c r="L728" s="11"/>
      <c r="O728" s="34"/>
      <c r="P728" s="35"/>
    </row>
    <row r="729" spans="3:16" x14ac:dyDescent="0.25">
      <c r="C729" s="11"/>
      <c r="D729" s="32"/>
      <c r="I729" s="46" t="s">
        <v>1162</v>
      </c>
      <c r="J729" s="47">
        <v>1</v>
      </c>
      <c r="K729" s="48"/>
      <c r="L729" s="11"/>
      <c r="O729" s="34"/>
      <c r="P729" s="35"/>
    </row>
    <row r="730" spans="3:16" x14ac:dyDescent="0.25">
      <c r="C730" s="11"/>
      <c r="D730" s="32"/>
      <c r="I730" s="46" t="s">
        <v>1163</v>
      </c>
      <c r="J730" s="47">
        <v>1</v>
      </c>
      <c r="K730" s="48"/>
      <c r="L730" s="11"/>
      <c r="O730" s="34"/>
      <c r="P730" s="35"/>
    </row>
    <row r="731" spans="3:16" x14ac:dyDescent="0.25">
      <c r="C731" s="11"/>
      <c r="D731" s="32"/>
      <c r="I731" s="46" t="s">
        <v>1164</v>
      </c>
      <c r="J731" s="47">
        <v>1</v>
      </c>
      <c r="K731" s="48"/>
      <c r="L731" s="11"/>
      <c r="O731" s="34"/>
      <c r="P731" s="35"/>
    </row>
    <row r="732" spans="3:16" x14ac:dyDescent="0.25">
      <c r="C732" s="11"/>
      <c r="D732" s="32"/>
      <c r="I732" s="46" t="s">
        <v>1165</v>
      </c>
      <c r="J732" s="47">
        <v>1</v>
      </c>
      <c r="K732" s="48"/>
      <c r="L732" s="11"/>
      <c r="O732" s="34"/>
      <c r="P732" s="35"/>
    </row>
    <row r="733" spans="3:16" x14ac:dyDescent="0.25">
      <c r="C733" s="11"/>
      <c r="D733" s="32"/>
      <c r="I733" s="46" t="s">
        <v>1166</v>
      </c>
      <c r="J733" s="47">
        <v>1</v>
      </c>
      <c r="K733" s="48"/>
      <c r="L733" s="11"/>
      <c r="O733" s="34"/>
      <c r="P733" s="35"/>
    </row>
    <row r="734" spans="3:16" x14ac:dyDescent="0.25">
      <c r="C734" s="11"/>
      <c r="D734" s="32"/>
      <c r="I734" s="46" t="s">
        <v>1167</v>
      </c>
      <c r="J734" s="47">
        <v>1</v>
      </c>
      <c r="K734" s="48"/>
      <c r="L734" s="11"/>
      <c r="O734" s="34"/>
      <c r="P734" s="35"/>
    </row>
    <row r="735" spans="3:16" x14ac:dyDescent="0.25">
      <c r="C735" s="11"/>
      <c r="D735" s="32"/>
      <c r="I735" s="46" t="s">
        <v>105</v>
      </c>
      <c r="J735" s="47">
        <v>1</v>
      </c>
      <c r="K735" s="48"/>
      <c r="L735" s="11"/>
      <c r="O735" s="34"/>
      <c r="P735" s="35"/>
    </row>
    <row r="736" spans="3:16" x14ac:dyDescent="0.25">
      <c r="C736" s="11"/>
      <c r="D736" s="32"/>
      <c r="I736" s="46" t="s">
        <v>1168</v>
      </c>
      <c r="J736" s="47">
        <v>1</v>
      </c>
      <c r="K736" s="48"/>
      <c r="L736" s="11"/>
      <c r="O736" s="34"/>
      <c r="P736" s="35"/>
    </row>
    <row r="737" spans="3:16" x14ac:dyDescent="0.25">
      <c r="C737" s="11"/>
      <c r="D737" s="32"/>
      <c r="I737" s="46" t="s">
        <v>1169</v>
      </c>
      <c r="J737" s="47">
        <v>1</v>
      </c>
      <c r="K737" s="48"/>
      <c r="L737" s="11"/>
      <c r="O737" s="34"/>
      <c r="P737" s="35"/>
    </row>
    <row r="738" spans="3:16" x14ac:dyDescent="0.25">
      <c r="C738" s="11"/>
      <c r="D738" s="32"/>
      <c r="I738" s="46" t="s">
        <v>1170</v>
      </c>
      <c r="J738" s="47">
        <v>1</v>
      </c>
      <c r="K738" s="48"/>
      <c r="L738" s="11"/>
      <c r="O738" s="34"/>
      <c r="P738" s="35"/>
    </row>
    <row r="739" spans="3:16" x14ac:dyDescent="0.25">
      <c r="C739" s="11"/>
      <c r="D739" s="32"/>
      <c r="I739" s="46" t="s">
        <v>1171</v>
      </c>
      <c r="J739" s="47">
        <v>1</v>
      </c>
      <c r="K739" s="48"/>
      <c r="L739" s="11"/>
      <c r="O739" s="34"/>
      <c r="P739" s="35"/>
    </row>
    <row r="740" spans="3:16" x14ac:dyDescent="0.25">
      <c r="C740" s="11"/>
      <c r="D740" s="32"/>
      <c r="I740" s="46" t="s">
        <v>1172</v>
      </c>
      <c r="J740" s="47">
        <v>1</v>
      </c>
      <c r="K740" s="48"/>
      <c r="L740" s="11"/>
      <c r="O740" s="34"/>
      <c r="P740" s="35"/>
    </row>
    <row r="741" spans="3:16" x14ac:dyDescent="0.25">
      <c r="C741" s="11"/>
      <c r="D741" s="32"/>
      <c r="I741" s="46" t="s">
        <v>1173</v>
      </c>
      <c r="J741" s="47">
        <v>1</v>
      </c>
      <c r="K741" s="48"/>
      <c r="L741" s="11"/>
      <c r="O741" s="34"/>
      <c r="P741" s="35"/>
    </row>
    <row r="742" spans="3:16" x14ac:dyDescent="0.25">
      <c r="C742" s="11"/>
      <c r="D742" s="32"/>
      <c r="I742" s="46" t="s">
        <v>1174</v>
      </c>
      <c r="J742" s="47">
        <v>1</v>
      </c>
      <c r="K742" s="48"/>
      <c r="L742" s="11"/>
      <c r="O742" s="34"/>
      <c r="P742" s="35"/>
    </row>
    <row r="743" spans="3:16" x14ac:dyDescent="0.25">
      <c r="C743" s="11"/>
      <c r="D743" s="32"/>
      <c r="I743" s="46" t="s">
        <v>1175</v>
      </c>
      <c r="J743" s="47">
        <v>1</v>
      </c>
      <c r="K743" s="48"/>
      <c r="L743" s="11"/>
      <c r="O743" s="34"/>
      <c r="P743" s="35"/>
    </row>
    <row r="744" spans="3:16" x14ac:dyDescent="0.25">
      <c r="C744" s="11"/>
      <c r="D744" s="32"/>
      <c r="I744" s="46" t="s">
        <v>1176</v>
      </c>
      <c r="J744" s="47">
        <v>3</v>
      </c>
      <c r="K744" s="48"/>
      <c r="L744" s="11"/>
      <c r="O744" s="34"/>
      <c r="P744" s="35"/>
    </row>
    <row r="745" spans="3:16" x14ac:dyDescent="0.25">
      <c r="C745" s="11"/>
      <c r="D745" s="32"/>
      <c r="I745" s="46" t="s">
        <v>1177</v>
      </c>
      <c r="J745" s="47">
        <v>1</v>
      </c>
      <c r="K745" s="48"/>
      <c r="L745" s="11"/>
      <c r="O745" s="34"/>
      <c r="P745" s="35"/>
    </row>
    <row r="746" spans="3:16" x14ac:dyDescent="0.25">
      <c r="C746" s="11"/>
      <c r="D746" s="32"/>
      <c r="I746" s="46"/>
      <c r="J746" s="47"/>
      <c r="K746" s="48"/>
      <c r="L746" s="11"/>
      <c r="O746" s="34"/>
      <c r="P746" s="35"/>
    </row>
    <row r="747" spans="3:16" x14ac:dyDescent="0.25">
      <c r="C747" s="11"/>
      <c r="D747" s="32"/>
      <c r="L747" s="11"/>
      <c r="O747" s="34"/>
      <c r="P747" s="35"/>
    </row>
    <row r="748" spans="3:16" x14ac:dyDescent="0.25">
      <c r="C748" s="11"/>
      <c r="D748" s="32"/>
      <c r="L748" s="11"/>
      <c r="O748" s="34"/>
      <c r="P748" s="35"/>
    </row>
    <row r="749" spans="3:16" x14ac:dyDescent="0.25">
      <c r="C749" s="11"/>
      <c r="D749" s="32"/>
      <c r="L749" s="11"/>
      <c r="O749" s="34"/>
      <c r="P749" s="35"/>
    </row>
    <row r="750" spans="3:16" x14ac:dyDescent="0.25">
      <c r="C750" s="11"/>
      <c r="D750" s="32"/>
      <c r="L750" s="11"/>
      <c r="O750" s="34"/>
      <c r="P750" s="35"/>
    </row>
    <row r="751" spans="3:16" x14ac:dyDescent="0.25">
      <c r="C751" s="11"/>
      <c r="D751" s="32"/>
      <c r="L751" s="11"/>
      <c r="O751" s="34"/>
      <c r="P751" s="35"/>
    </row>
    <row r="752" spans="3:16" x14ac:dyDescent="0.25">
      <c r="C752" s="11"/>
      <c r="D752" s="32"/>
      <c r="O752" s="34"/>
      <c r="P752" s="35"/>
    </row>
    <row r="753" spans="3:16" x14ac:dyDescent="0.25">
      <c r="C753" s="11"/>
      <c r="D753" s="32"/>
      <c r="O753" s="34"/>
      <c r="P753" s="35"/>
    </row>
  </sheetData>
  <mergeCells count="3">
    <mergeCell ref="A1:C1"/>
    <mergeCell ref="A2:B2"/>
    <mergeCell ref="A8:C8"/>
  </mergeCells>
  <conditionalFormatting sqref="I10:I746">
    <cfRule type="duplicateValues" dxfId="11" priority="14"/>
  </conditionalFormatting>
  <conditionalFormatting sqref="O27">
    <cfRule type="duplicateValues" dxfId="10" priority="7"/>
  </conditionalFormatting>
  <conditionalFormatting sqref="O35">
    <cfRule type="duplicateValues" dxfId="9" priority="2"/>
  </conditionalFormatting>
  <conditionalFormatting sqref="O46">
    <cfRule type="duplicateValues" dxfId="8" priority="4"/>
  </conditionalFormatting>
  <conditionalFormatting sqref="O123">
    <cfRule type="duplicateValues" dxfId="7" priority="5"/>
  </conditionalFormatting>
  <conditionalFormatting sqref="O124:O153 O10:O26 O28:O34 O41:O45 O161:O163 O47:O122 O36:O39 O155:O159">
    <cfRule type="duplicateValues" dxfId="6" priority="9"/>
  </conditionalFormatting>
  <conditionalFormatting sqref="O154">
    <cfRule type="duplicateValues" dxfId="5" priority="1"/>
  </conditionalFormatting>
  <conditionalFormatting sqref="O160">
    <cfRule type="duplicateValues" dxfId="4" priority="3"/>
  </conditionalFormatting>
  <conditionalFormatting sqref="O180">
    <cfRule type="duplicateValues" dxfId="3" priority="6"/>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tCountry">
    <pageSetUpPr fitToPage="1"/>
  </sheetPr>
  <dimension ref="A1:M269"/>
  <sheetViews>
    <sheetView showGridLines="0" tabSelected="1" topLeftCell="A212" zoomScale="70" zoomScaleNormal="70" workbookViewId="0">
      <selection activeCell="I10" sqref="I10:I261"/>
    </sheetView>
  </sheetViews>
  <sheetFormatPr defaultColWidth="8.7109375" defaultRowHeight="15" x14ac:dyDescent="0.25"/>
  <cols>
    <col min="1" max="1" width="2.42578125" style="125" customWidth="1"/>
    <col min="2" max="2" width="27.28515625" style="125" bestFit="1" customWidth="1"/>
    <col min="3" max="3" width="18.42578125" style="125" customWidth="1"/>
    <col min="4" max="4" width="18.7109375" style="125" customWidth="1"/>
    <col min="5" max="5" width="20.42578125" style="125" customWidth="1"/>
    <col min="6" max="6" width="12.5703125" style="125" customWidth="1"/>
    <col min="7" max="7" width="22.42578125" style="126" customWidth="1"/>
    <col min="8" max="9" width="23.42578125" style="125" customWidth="1"/>
    <col min="10" max="11" width="18.28515625" style="125" customWidth="1"/>
    <col min="12" max="12" width="55.7109375" style="125" bestFit="1" customWidth="1"/>
    <col min="13" max="16384" width="8.7109375" style="125"/>
  </cols>
  <sheetData>
    <row r="1" spans="1:13" x14ac:dyDescent="0.25">
      <c r="A1" s="124" t="s">
        <v>118</v>
      </c>
    </row>
    <row r="2" spans="1:13" x14ac:dyDescent="0.25">
      <c r="A2" s="127"/>
      <c r="B2" s="124" t="s">
        <v>119</v>
      </c>
    </row>
    <row r="3" spans="1:13" x14ac:dyDescent="0.25">
      <c r="A3" s="127"/>
      <c r="B3" s="128" t="s">
        <v>120</v>
      </c>
      <c r="C3" s="128" t="s">
        <v>121</v>
      </c>
      <c r="D3" s="128" t="s">
        <v>122</v>
      </c>
    </row>
    <row r="4" spans="1:13" x14ac:dyDescent="0.25">
      <c r="A4" s="127"/>
      <c r="B4" s="129" t="s">
        <v>3</v>
      </c>
      <c r="C4" s="130">
        <v>2.0099999999999998</v>
      </c>
      <c r="D4" s="130">
        <v>3</v>
      </c>
    </row>
    <row r="5" spans="1:13" x14ac:dyDescent="0.25">
      <c r="A5" s="127"/>
      <c r="B5" s="129" t="s">
        <v>1</v>
      </c>
      <c r="C5" s="130">
        <v>1.01</v>
      </c>
      <c r="D5" s="130">
        <v>2</v>
      </c>
    </row>
    <row r="6" spans="1:13" x14ac:dyDescent="0.25">
      <c r="A6" s="127"/>
      <c r="B6" s="129" t="s">
        <v>2</v>
      </c>
      <c r="C6" s="130">
        <v>0</v>
      </c>
      <c r="D6" s="130">
        <v>1</v>
      </c>
    </row>
    <row r="8" spans="1:13" ht="45" x14ac:dyDescent="0.25">
      <c r="B8" s="168" t="s">
        <v>123</v>
      </c>
      <c r="C8" s="169" t="s">
        <v>124</v>
      </c>
      <c r="D8" s="169" t="s">
        <v>1305</v>
      </c>
      <c r="E8" s="169" t="s">
        <v>125</v>
      </c>
      <c r="F8" s="169" t="s">
        <v>126</v>
      </c>
      <c r="G8" s="170" t="s">
        <v>127</v>
      </c>
      <c r="H8" s="171" t="s">
        <v>128</v>
      </c>
      <c r="I8" s="169" t="s">
        <v>1289</v>
      </c>
      <c r="J8" s="172" t="s">
        <v>1235</v>
      </c>
      <c r="K8" s="131"/>
      <c r="L8" s="357" t="s">
        <v>1306</v>
      </c>
      <c r="M8" s="358"/>
    </row>
    <row r="9" spans="1:13" s="132" customFormat="1" ht="15.75" x14ac:dyDescent="0.25">
      <c r="B9" s="173" t="s">
        <v>108</v>
      </c>
      <c r="C9" s="174">
        <v>0.3</v>
      </c>
      <c r="D9" s="174">
        <v>0.35</v>
      </c>
      <c r="E9" s="174">
        <v>0.3</v>
      </c>
      <c r="F9" s="174">
        <v>0.05</v>
      </c>
      <c r="G9" s="175">
        <f>SUM(C9:F9)</f>
        <v>1</v>
      </c>
      <c r="H9" s="176"/>
      <c r="I9" s="176"/>
      <c r="J9" s="176"/>
      <c r="K9" s="176"/>
      <c r="L9" s="133" t="s">
        <v>1307</v>
      </c>
      <c r="M9" s="134">
        <v>0.65</v>
      </c>
    </row>
    <row r="10" spans="1:13" s="132" customFormat="1" x14ac:dyDescent="0.25">
      <c r="B10" s="164" t="s">
        <v>1415</v>
      </c>
      <c r="C10" s="138">
        <v>1</v>
      </c>
      <c r="D10" s="138">
        <v>1</v>
      </c>
      <c r="E10" s="138">
        <v>1</v>
      </c>
      <c r="F10" s="138">
        <v>1</v>
      </c>
      <c r="G10" s="139">
        <f>C10*$C$9+D10*$D$9+E10*$E$9+F10*$F$9</f>
        <v>1</v>
      </c>
      <c r="H10" s="140" t="str">
        <f t="shared" ref="H10" si="0">IF(AND(G10&gt;=$C$6,G10&lt;=$D$6),$B$6,IF(AND(G10&gt;=$C$5,G10&lt;=$D$5),$B$5,IF(AND(G10&gt;=$C$4,G10&lt;=$D$4),$B$4)))</f>
        <v>Low</v>
      </c>
      <c r="I10" s="137"/>
      <c r="J10" s="161">
        <f>IF(OR(I10="Prohibited", I10="FATF Grey List"), IF(I10="Prohibited", 4, 3), G10)</f>
        <v>1</v>
      </c>
      <c r="K10" s="140" t="str">
        <f>IF(AND(J10&gt;=$C$6,J10&lt;=$D$6),$B$6,IF(AND(J10&gt;=$C$5,J10&lt;=$D$5),$B$5,IF(AND(J10&gt;=$C$4,J10&lt;=$D$4),$B$4,IF(AND(J10&gt;=#REF!,J10&lt;=#REF!),#REF!))))</f>
        <v>Low</v>
      </c>
      <c r="L10" s="135" t="s">
        <v>1308</v>
      </c>
      <c r="M10" s="136">
        <v>0.35</v>
      </c>
    </row>
    <row r="11" spans="1:13" s="132" customFormat="1" x14ac:dyDescent="0.25">
      <c r="B11" s="137" t="s">
        <v>244</v>
      </c>
      <c r="C11" s="138">
        <f>[11]FATF!D3</f>
        <v>1</v>
      </c>
      <c r="D11" s="138">
        <f>[11]BASEL!H4</f>
        <v>2</v>
      </c>
      <c r="E11" s="138">
        <v>1</v>
      </c>
      <c r="F11" s="138">
        <v>1</v>
      </c>
      <c r="G11" s="139">
        <f>C11*$C$9+D11*$D$9+E11*$E$9+F11*$F$9</f>
        <v>1.35</v>
      </c>
      <c r="H11" s="140" t="str">
        <f>IF(AND(G11&gt;=$C$6,G11&lt;=$D$6),$B$6,IF(AND(G11&gt;=$C$5,G11&lt;=$D$5),$B$5,IF(AND(G11&gt;=$C$4,G11&lt;=$D$4),$B$4,IF(AND(G11&gt;=#REF!,G11&lt;=#REF!),#REF!))))</f>
        <v>Medium</v>
      </c>
      <c r="I11" s="140"/>
      <c r="J11" s="161">
        <f>IF(OR(I11="Prohibited", I11="FATF Grey List"), IF(I11="Prohibited", 4, 3), G11)</f>
        <v>1.35</v>
      </c>
      <c r="K11" s="140" t="str">
        <f>IF(AND(J11&gt;=$C$6,J11&lt;=$D$6),$B$6,IF(AND(J11&gt;=$C$5,J11&lt;=$D$5),$B$5,IF(AND(J11&gt;=$C$4,J11&lt;=$D$4),$B$4,IF(AND(J11&gt;=#REF!,J11&lt;=#REF!),#REF!))))</f>
        <v>Medium</v>
      </c>
      <c r="L11" s="135" t="s">
        <v>1309</v>
      </c>
      <c r="M11" s="136">
        <v>0.15</v>
      </c>
    </row>
    <row r="12" spans="1:13" s="132" customFormat="1" x14ac:dyDescent="0.25">
      <c r="B12" s="137" t="s">
        <v>129</v>
      </c>
      <c r="C12" s="138">
        <v>2</v>
      </c>
      <c r="D12" s="138">
        <f>[11]BASEL!H5</f>
        <v>3</v>
      </c>
      <c r="E12" s="138">
        <v>2</v>
      </c>
      <c r="F12" s="138">
        <v>3</v>
      </c>
      <c r="G12" s="139">
        <f t="shared" ref="G12:G75" si="1">C12*$C$9+D12*$D$9+E12*$E$9+F12*$F$9</f>
        <v>2.4</v>
      </c>
      <c r="H12" s="140" t="str">
        <f>IF(AND(G12&gt;=$C$6,G12&lt;=$D$6),$B$6,IF(AND(G12&gt;=$C$5,G12&lt;=$D$5),$B$5,IF(AND(G12&gt;=$C$4,G12&lt;=$D$4),$B$4)))</f>
        <v>High</v>
      </c>
      <c r="I12" s="140"/>
      <c r="J12" s="141">
        <f t="shared" ref="J12:J75" si="2">IF(OR(I12="Prohibited", I12="FATF Grey List"), IF(I12="Prohibited", 4, 3), G12)</f>
        <v>2.4</v>
      </c>
      <c r="K12" s="140" t="str">
        <f>IF(AND(J12&gt;=$C$6,J12&lt;=$D$6),$B$6,IF(AND(J12&gt;=$C$5,J12&lt;=$D$5),$B$5,IF(AND(J12&gt;=$C$4,J12&lt;=$D$4),$B$4,IF(AND(J12&gt;=#REF!,J12&lt;=#REF!),#REF!))))</f>
        <v>High</v>
      </c>
      <c r="L12" s="135" t="s">
        <v>1310</v>
      </c>
      <c r="M12" s="136">
        <v>0.05</v>
      </c>
    </row>
    <row r="13" spans="1:13" s="132" customFormat="1" x14ac:dyDescent="0.25">
      <c r="B13" s="137" t="s">
        <v>1347</v>
      </c>
      <c r="C13" s="142">
        <v>2</v>
      </c>
      <c r="D13" s="142">
        <v>2</v>
      </c>
      <c r="E13" s="138">
        <v>1</v>
      </c>
      <c r="F13" s="138">
        <v>1</v>
      </c>
      <c r="G13" s="139">
        <f t="shared" si="1"/>
        <v>1.65</v>
      </c>
      <c r="H13" s="140" t="str">
        <f t="shared" ref="H13:H32" si="3">IF(AND(G13&gt;=$C$6,G13&lt;=$D$6),$B$6,IF(AND(G13&gt;=$C$5,G13&lt;=$D$5),$B$5,IF(AND(G13&gt;=$C$4,G13&lt;=$D$4),$B$4)))</f>
        <v>Medium</v>
      </c>
      <c r="I13" s="140"/>
      <c r="J13" s="141">
        <f t="shared" si="2"/>
        <v>1.65</v>
      </c>
      <c r="K13" s="140" t="str">
        <f>IF(AND(J13&gt;=$C$6,J13&lt;=$D$6),$B$6,IF(AND(J13&gt;=$C$5,J13&lt;=$D$5),$B$5,IF(AND(J13&gt;=$C$4,J13&lt;=$D$4),$B$4,IF(AND(J13&gt;=#REF!,J13&lt;=#REF!),#REF!))))</f>
        <v>Medium</v>
      </c>
      <c r="L13" s="135" t="s">
        <v>1311</v>
      </c>
      <c r="M13" s="136">
        <v>0.05</v>
      </c>
    </row>
    <row r="14" spans="1:13" s="132" customFormat="1" x14ac:dyDescent="0.25">
      <c r="B14" s="137" t="s">
        <v>130</v>
      </c>
      <c r="C14" s="138">
        <f>[11]FATF!D6</f>
        <v>1</v>
      </c>
      <c r="D14" s="138">
        <f>[11]BASEL!H7</f>
        <v>2</v>
      </c>
      <c r="E14" s="138">
        <v>2</v>
      </c>
      <c r="F14" s="138">
        <v>1</v>
      </c>
      <c r="G14" s="139">
        <f t="shared" si="1"/>
        <v>1.6500000000000001</v>
      </c>
      <c r="H14" s="140" t="str">
        <f t="shared" si="3"/>
        <v>Medium</v>
      </c>
      <c r="I14" s="140"/>
      <c r="J14" s="141">
        <f t="shared" si="2"/>
        <v>1.6500000000000001</v>
      </c>
      <c r="K14" s="140" t="str">
        <f>IF(AND(J14&gt;=$C$6,J14&lt;=$D$6),$B$6,IF(AND(J14&gt;=$C$5,J14&lt;=$D$5),$B$5,IF(AND(J14&gt;=$C$4,J14&lt;=$D$4),$B$4,IF(AND(J14&gt;=#REF!,J14&lt;=#REF!),#REF!))))</f>
        <v>Medium</v>
      </c>
      <c r="L14" s="135" t="s">
        <v>1312</v>
      </c>
      <c r="M14" s="136">
        <v>0.05</v>
      </c>
    </row>
    <row r="15" spans="1:13" s="132" customFormat="1" x14ac:dyDescent="0.25">
      <c r="B15" s="137" t="s">
        <v>131</v>
      </c>
      <c r="C15" s="138">
        <f>[11]FATF!D7</f>
        <v>1</v>
      </c>
      <c r="D15" s="138">
        <f>[11]BASEL!H8</f>
        <v>3</v>
      </c>
      <c r="E15" s="138">
        <v>1</v>
      </c>
      <c r="F15" s="138">
        <v>1</v>
      </c>
      <c r="G15" s="139">
        <f t="shared" si="1"/>
        <v>1.7</v>
      </c>
      <c r="H15" s="140" t="str">
        <f t="shared" si="3"/>
        <v>Medium</v>
      </c>
      <c r="I15" s="140" t="s">
        <v>1393</v>
      </c>
      <c r="J15" s="141">
        <f t="shared" si="2"/>
        <v>3</v>
      </c>
      <c r="K15" s="140" t="str">
        <f>IF(AND(J15&gt;=$C$6,J15&lt;=$D$6),$B$6,IF(AND(J15&gt;=$C$5,J15&lt;=$D$5),$B$5,IF(AND(J15&gt;=$C$4,J15&lt;=$D$4),$B$4,IF(AND(J15&gt;=#REF!,J15&lt;=#REF!),#REF!))))</f>
        <v>High</v>
      </c>
      <c r="L15" s="143" t="s">
        <v>1313</v>
      </c>
      <c r="M15" s="144">
        <v>0.1</v>
      </c>
    </row>
    <row r="16" spans="1:13" s="132" customFormat="1" x14ac:dyDescent="0.25">
      <c r="B16" s="137" t="s">
        <v>1348</v>
      </c>
      <c r="C16" s="142">
        <v>1</v>
      </c>
      <c r="D16" s="142">
        <v>1</v>
      </c>
      <c r="E16" s="138">
        <v>1</v>
      </c>
      <c r="F16" s="138">
        <v>1</v>
      </c>
      <c r="G16" s="139">
        <f t="shared" si="1"/>
        <v>1</v>
      </c>
      <c r="H16" s="140" t="str">
        <f t="shared" si="3"/>
        <v>Low</v>
      </c>
      <c r="I16" s="140"/>
      <c r="J16" s="141">
        <f t="shared" si="2"/>
        <v>1</v>
      </c>
      <c r="K16" s="140" t="str">
        <f>IF(AND(J16&gt;=$C$6,J16&lt;=$D$6),$B$6,IF(AND(J16&gt;=$C$5,J16&lt;=$D$5),$B$5,IF(AND(J16&gt;=$C$4,J16&lt;=$D$4),$B$4,IF(AND(J16&gt;=#REF!,J16&lt;=#REF!),#REF!))))</f>
        <v>Low</v>
      </c>
      <c r="L16" s="145" t="s">
        <v>1314</v>
      </c>
      <c r="M16" s="146">
        <v>0.05</v>
      </c>
    </row>
    <row r="17" spans="2:13" s="132" customFormat="1" x14ac:dyDescent="0.25">
      <c r="B17" s="137" t="s">
        <v>132</v>
      </c>
      <c r="C17" s="138">
        <f>[11]FATF!D9</f>
        <v>1</v>
      </c>
      <c r="D17" s="138">
        <f>[11]BASEL!H10</f>
        <v>1</v>
      </c>
      <c r="E17" s="138">
        <v>1</v>
      </c>
      <c r="F17" s="138">
        <v>1</v>
      </c>
      <c r="G17" s="139">
        <f t="shared" si="1"/>
        <v>1</v>
      </c>
      <c r="H17" s="140" t="str">
        <f t="shared" si="3"/>
        <v>Low</v>
      </c>
      <c r="I17" s="140"/>
      <c r="J17" s="141">
        <f t="shared" si="2"/>
        <v>1</v>
      </c>
      <c r="K17" s="140" t="str">
        <f>IF(AND(J17&gt;=$C$6,J17&lt;=$D$6),$B$6,IF(AND(J17&gt;=$C$5,J17&lt;=$D$5),$B$5,IF(AND(J17&gt;=$C$4,J17&lt;=$D$4),$B$4,IF(AND(J17&gt;=#REF!,J17&lt;=#REF!),#REF!))))</f>
        <v>Low</v>
      </c>
      <c r="L17" s="147" t="s">
        <v>1315</v>
      </c>
      <c r="M17" s="146">
        <v>0.05</v>
      </c>
    </row>
    <row r="18" spans="2:13" s="132" customFormat="1" x14ac:dyDescent="0.25">
      <c r="B18" s="137" t="s">
        <v>133</v>
      </c>
      <c r="C18" s="138">
        <f>[11]FATF!D10</f>
        <v>1</v>
      </c>
      <c r="D18" s="138">
        <f>[11]BASEL!H11</f>
        <v>3</v>
      </c>
      <c r="E18" s="138">
        <v>1</v>
      </c>
      <c r="F18" s="138">
        <v>1</v>
      </c>
      <c r="G18" s="139">
        <f t="shared" si="1"/>
        <v>1.7</v>
      </c>
      <c r="H18" s="140" t="str">
        <f t="shared" si="3"/>
        <v>Medium</v>
      </c>
      <c r="I18" s="140" t="s">
        <v>1393</v>
      </c>
      <c r="J18" s="141">
        <f t="shared" si="2"/>
        <v>3</v>
      </c>
      <c r="K18" s="140" t="str">
        <f>IF(AND(J18&gt;=$C$6,J18&lt;=$D$6),$B$6,IF(AND(J18&gt;=$C$5,J18&lt;=$D$5),$B$5,IF(AND(J18&gt;=$C$4,J18&lt;=$D$4),$B$4,IF(AND(J18&gt;=#REF!,J18&lt;=#REF!),#REF!))))</f>
        <v>High</v>
      </c>
      <c r="L18" s="148" t="s">
        <v>1316</v>
      </c>
      <c r="M18" s="149">
        <v>0.1</v>
      </c>
    </row>
    <row r="19" spans="2:13" s="132" customFormat="1" x14ac:dyDescent="0.25">
      <c r="B19" s="137" t="s">
        <v>134</v>
      </c>
      <c r="C19" s="138">
        <f>[11]FATF!D11</f>
        <v>1</v>
      </c>
      <c r="D19" s="138">
        <f>[11]BASEL!H12</f>
        <v>1</v>
      </c>
      <c r="E19" s="138">
        <v>1</v>
      </c>
      <c r="F19" s="138">
        <v>1</v>
      </c>
      <c r="G19" s="139">
        <f t="shared" si="1"/>
        <v>1</v>
      </c>
      <c r="H19" s="140" t="str">
        <f t="shared" si="3"/>
        <v>Low</v>
      </c>
      <c r="I19" s="140"/>
      <c r="J19" s="141">
        <f t="shared" si="2"/>
        <v>1</v>
      </c>
      <c r="K19" s="140" t="str">
        <f>IF(AND(J19&gt;=$C$6,J19&lt;=$D$6),$B$6,IF(AND(J19&gt;=$C$5,J19&lt;=$D$5),$B$5,IF(AND(J19&gt;=$C$4,J19&lt;=$D$4),$B$4,IF(AND(J19&gt;=#REF!,J19&lt;=#REF!),#REF!))))</f>
        <v>Low</v>
      </c>
      <c r="L19" s="150" t="s">
        <v>1317</v>
      </c>
      <c r="M19" s="151">
        <v>2.5000000000000001E-2</v>
      </c>
    </row>
    <row r="20" spans="2:13" s="132" customFormat="1" x14ac:dyDescent="0.25">
      <c r="B20" s="137" t="s">
        <v>1349</v>
      </c>
      <c r="C20" s="142">
        <v>1</v>
      </c>
      <c r="D20" s="142">
        <v>1</v>
      </c>
      <c r="E20" s="138">
        <v>1</v>
      </c>
      <c r="F20" s="138">
        <v>1</v>
      </c>
      <c r="G20" s="139">
        <f t="shared" si="1"/>
        <v>1</v>
      </c>
      <c r="H20" s="140" t="str">
        <f t="shared" si="3"/>
        <v>Low</v>
      </c>
      <c r="I20" s="140"/>
      <c r="J20" s="141">
        <f t="shared" si="2"/>
        <v>1</v>
      </c>
      <c r="K20" s="140" t="str">
        <f>IF(AND(J20&gt;=$C$6,J20&lt;=$D$6),$B$6,IF(AND(J20&gt;=$C$5,J20&lt;=$D$5),$B$5,IF(AND(J20&gt;=$C$4,J20&lt;=$D$4),$B$4,IF(AND(J20&gt;=#REF!,J20&lt;=#REF!),#REF!))))</f>
        <v>Low</v>
      </c>
      <c r="L20" s="150" t="s">
        <v>1318</v>
      </c>
      <c r="M20" s="151">
        <v>0.05</v>
      </c>
    </row>
    <row r="21" spans="2:13" s="132" customFormat="1" x14ac:dyDescent="0.25">
      <c r="B21" s="137" t="s">
        <v>135</v>
      </c>
      <c r="C21" s="138">
        <f>[11]FATF!D13</f>
        <v>1</v>
      </c>
      <c r="D21" s="138">
        <f>[11]BASEL!H14</f>
        <v>2</v>
      </c>
      <c r="E21" s="138">
        <v>1</v>
      </c>
      <c r="F21" s="138">
        <v>1</v>
      </c>
      <c r="G21" s="139">
        <f t="shared" si="1"/>
        <v>1.35</v>
      </c>
      <c r="H21" s="140" t="str">
        <f t="shared" si="3"/>
        <v>Medium</v>
      </c>
      <c r="I21" s="140"/>
      <c r="J21" s="141">
        <f t="shared" si="2"/>
        <v>1.35</v>
      </c>
      <c r="K21" s="140" t="str">
        <f>IF(AND(J21&gt;=$C$6,J21&lt;=$D$6),$B$6,IF(AND(J21&gt;=$C$5,J21&lt;=$D$5),$B$5,IF(AND(J21&gt;=$C$4,J21&lt;=$D$4),$B$4,IF(AND(J21&gt;=#REF!,J21&lt;=#REF!),#REF!))))</f>
        <v>Medium</v>
      </c>
      <c r="L21" s="150" t="s">
        <v>1319</v>
      </c>
      <c r="M21" s="151">
        <v>2.5000000000000001E-2</v>
      </c>
    </row>
    <row r="22" spans="2:13" s="132" customFormat="1" x14ac:dyDescent="0.25">
      <c r="B22" s="137" t="s">
        <v>136</v>
      </c>
      <c r="C22" s="138">
        <f>[11]FATF!D14</f>
        <v>1</v>
      </c>
      <c r="D22" s="138">
        <f>[11]BASEL!H15</f>
        <v>2</v>
      </c>
      <c r="E22" s="138">
        <v>2</v>
      </c>
      <c r="F22" s="138">
        <v>1</v>
      </c>
      <c r="G22" s="139">
        <f t="shared" si="1"/>
        <v>1.6500000000000001</v>
      </c>
      <c r="H22" s="140" t="str">
        <f t="shared" si="3"/>
        <v>Medium</v>
      </c>
      <c r="I22" s="140"/>
      <c r="J22" s="141">
        <f t="shared" si="2"/>
        <v>1.6500000000000001</v>
      </c>
      <c r="K22" s="140" t="str">
        <f>IF(AND(J22&gt;=$C$6,J22&lt;=$D$6),$B$6,IF(AND(J22&gt;=$C$5,J22&lt;=$D$5),$B$5,IF(AND(J22&gt;=$C$4,J22&lt;=$D$4),$B$4,IF(AND(J22&gt;=#REF!,J22&lt;=#REF!),#REF!))))</f>
        <v>Medium</v>
      </c>
      <c r="L22" s="152" t="s">
        <v>1320</v>
      </c>
      <c r="M22" s="153">
        <v>0.05</v>
      </c>
    </row>
    <row r="23" spans="2:13" s="132" customFormat="1" x14ac:dyDescent="0.25">
      <c r="B23" s="137" t="s">
        <v>137</v>
      </c>
      <c r="C23" s="138">
        <f>[11]FATF!D15</f>
        <v>1</v>
      </c>
      <c r="D23" s="138">
        <f>[11]BASEL!H16</f>
        <v>2</v>
      </c>
      <c r="E23" s="138">
        <v>2</v>
      </c>
      <c r="F23" s="138">
        <v>1</v>
      </c>
      <c r="G23" s="139">
        <f t="shared" si="1"/>
        <v>1.6500000000000001</v>
      </c>
      <c r="H23" s="140" t="str">
        <f t="shared" si="3"/>
        <v>Medium</v>
      </c>
      <c r="I23" s="140"/>
      <c r="J23" s="141">
        <f t="shared" si="2"/>
        <v>1.6500000000000001</v>
      </c>
      <c r="K23" s="140" t="str">
        <f>IF(AND(J23&gt;=$C$6,J23&lt;=$D$6),$B$6,IF(AND(J23&gt;=$C$5,J23&lt;=$D$5),$B$5,IF(AND(J23&gt;=$C$4,J23&lt;=$D$4),$B$4,IF(AND(J23&gt;=#REF!,J23&lt;=#REF!),#REF!))))</f>
        <v>Medium</v>
      </c>
      <c r="L23" s="154" t="s">
        <v>1321</v>
      </c>
      <c r="M23" s="155">
        <v>1.6670000000000001E-2</v>
      </c>
    </row>
    <row r="24" spans="2:13" s="132" customFormat="1" x14ac:dyDescent="0.25">
      <c r="B24" s="137" t="s">
        <v>138</v>
      </c>
      <c r="C24" s="138">
        <f>[11]FATF!D16</f>
        <v>1</v>
      </c>
      <c r="D24" s="138">
        <f>[11]BASEL!H17</f>
        <v>2</v>
      </c>
      <c r="E24" s="138">
        <v>1</v>
      </c>
      <c r="F24" s="138">
        <v>1</v>
      </c>
      <c r="G24" s="139">
        <f t="shared" si="1"/>
        <v>1.35</v>
      </c>
      <c r="H24" s="140" t="str">
        <f t="shared" si="3"/>
        <v>Medium</v>
      </c>
      <c r="I24" s="140"/>
      <c r="J24" s="141">
        <f t="shared" si="2"/>
        <v>1.35</v>
      </c>
      <c r="K24" s="140" t="str">
        <f>IF(AND(J24&gt;=$C$6,J24&lt;=$D$6),$B$6,IF(AND(J24&gt;=$C$5,J24&lt;=$D$5),$B$5,IF(AND(J24&gt;=$C$4,J24&lt;=$D$4),$B$4,IF(AND(J24&gt;=#REF!,J24&lt;=#REF!),#REF!))))</f>
        <v>Medium</v>
      </c>
      <c r="L24" s="154" t="s">
        <v>1322</v>
      </c>
      <c r="M24" s="155">
        <v>1.6670000000000001E-2</v>
      </c>
    </row>
    <row r="25" spans="2:13" s="132" customFormat="1" x14ac:dyDescent="0.25">
      <c r="B25" s="137" t="s">
        <v>139</v>
      </c>
      <c r="C25" s="138">
        <f>[11]FATF!D17</f>
        <v>1</v>
      </c>
      <c r="D25" s="138">
        <f>[11]BASEL!H18</f>
        <v>1</v>
      </c>
      <c r="E25" s="138">
        <v>1</v>
      </c>
      <c r="F25" s="138">
        <v>1</v>
      </c>
      <c r="G25" s="139">
        <f t="shared" si="1"/>
        <v>1</v>
      </c>
      <c r="H25" s="140" t="str">
        <f t="shared" si="3"/>
        <v>Low</v>
      </c>
      <c r="I25" s="140"/>
      <c r="J25" s="141">
        <f t="shared" si="2"/>
        <v>1</v>
      </c>
      <c r="K25" s="140" t="str">
        <f>IF(AND(J25&gt;=$C$6,J25&lt;=$D$6),$B$6,IF(AND(J25&gt;=$C$5,J25&lt;=$D$5),$B$5,IF(AND(J25&gt;=$C$4,J25&lt;=$D$4),$B$4,IF(AND(J25&gt;=#REF!,J25&lt;=#REF!),#REF!))))</f>
        <v>Low</v>
      </c>
      <c r="L25" s="154" t="s">
        <v>1323</v>
      </c>
      <c r="M25" s="155">
        <v>1.6670000000000001E-2</v>
      </c>
    </row>
    <row r="26" spans="2:13" s="132" customFormat="1" x14ac:dyDescent="0.25">
      <c r="B26" s="137" t="s">
        <v>140</v>
      </c>
      <c r="C26" s="138">
        <f>[11]FATF!D18</f>
        <v>1</v>
      </c>
      <c r="D26" s="138">
        <f>[11]BASEL!H19</f>
        <v>2</v>
      </c>
      <c r="E26" s="138">
        <v>1</v>
      </c>
      <c r="F26" s="138">
        <v>1</v>
      </c>
      <c r="G26" s="139">
        <f t="shared" si="1"/>
        <v>1.35</v>
      </c>
      <c r="H26" s="140" t="str">
        <f t="shared" si="3"/>
        <v>Medium</v>
      </c>
      <c r="I26" s="140"/>
      <c r="J26" s="141">
        <f t="shared" si="2"/>
        <v>1.35</v>
      </c>
      <c r="K26" s="140" t="str">
        <f>IF(AND(J26&gt;=$C$6,J26&lt;=$D$6),$B$6,IF(AND(J26&gt;=$C$5,J26&lt;=$D$5),$B$5,IF(AND(J26&gt;=$C$4,J26&lt;=$D$4),$B$4,IF(AND(J26&gt;=#REF!,J26&lt;=#REF!),#REF!))))</f>
        <v>Medium</v>
      </c>
      <c r="L26" s="156" t="s">
        <v>1324</v>
      </c>
      <c r="M26" s="157">
        <v>0.1</v>
      </c>
    </row>
    <row r="27" spans="2:13" s="132" customFormat="1" x14ac:dyDescent="0.25">
      <c r="B27" s="137" t="s">
        <v>141</v>
      </c>
      <c r="C27" s="138">
        <f>[11]FATF!D19</f>
        <v>1</v>
      </c>
      <c r="D27" s="138">
        <f>[11]BASEL!H20</f>
        <v>2</v>
      </c>
      <c r="E27" s="138">
        <v>2</v>
      </c>
      <c r="F27" s="138">
        <v>1</v>
      </c>
      <c r="G27" s="139">
        <f t="shared" si="1"/>
        <v>1.6500000000000001</v>
      </c>
      <c r="H27" s="140" t="str">
        <f t="shared" si="3"/>
        <v>Medium</v>
      </c>
      <c r="I27" s="140"/>
      <c r="J27" s="141">
        <f t="shared" si="2"/>
        <v>1.6500000000000001</v>
      </c>
      <c r="K27" s="140" t="str">
        <f>IF(AND(J27&gt;=$C$6,J27&lt;=$D$6),$B$6,IF(AND(J27&gt;=$C$5,J27&lt;=$D$5),$B$5,IF(AND(J27&gt;=$C$4,J27&lt;=$D$4),$B$4,IF(AND(J27&gt;=#REF!,J27&lt;=#REF!),#REF!))))</f>
        <v>Medium</v>
      </c>
      <c r="L27" s="158" t="s">
        <v>1325</v>
      </c>
      <c r="M27" s="159">
        <v>2.5000000000000001E-2</v>
      </c>
    </row>
    <row r="28" spans="2:13" s="132" customFormat="1" x14ac:dyDescent="0.25">
      <c r="B28" s="137" t="s">
        <v>142</v>
      </c>
      <c r="C28" s="138">
        <f>[11]FATF!D20</f>
        <v>1</v>
      </c>
      <c r="D28" s="138">
        <f>[11]BASEL!H21</f>
        <v>2</v>
      </c>
      <c r="E28" s="138">
        <v>1</v>
      </c>
      <c r="F28" s="138">
        <v>1</v>
      </c>
      <c r="G28" s="139">
        <f t="shared" si="1"/>
        <v>1.35</v>
      </c>
      <c r="H28" s="140" t="str">
        <f t="shared" si="3"/>
        <v>Medium</v>
      </c>
      <c r="I28" s="140"/>
      <c r="J28" s="141">
        <f t="shared" si="2"/>
        <v>1.35</v>
      </c>
      <c r="K28" s="140" t="str">
        <f>IF(AND(J28&gt;=$C$6,J28&lt;=$D$6),$B$6,IF(AND(J28&gt;=$C$5,J28&lt;=$D$5),$B$5,IF(AND(J28&gt;=$C$4,J28&lt;=$D$4),$B$4,IF(AND(J28&gt;=#REF!,J28&lt;=#REF!),#REF!))))</f>
        <v>Medium</v>
      </c>
      <c r="L28" s="160" t="s">
        <v>1326</v>
      </c>
      <c r="M28" s="159">
        <v>2.5000000000000001E-2</v>
      </c>
    </row>
    <row r="29" spans="2:13" s="132" customFormat="1" x14ac:dyDescent="0.25">
      <c r="B29" s="137" t="s">
        <v>143</v>
      </c>
      <c r="C29" s="138">
        <f>[11]FATF!D21</f>
        <v>1</v>
      </c>
      <c r="D29" s="138">
        <f>[11]BASEL!H22</f>
        <v>2</v>
      </c>
      <c r="E29" s="138">
        <v>1</v>
      </c>
      <c r="F29" s="138">
        <v>1</v>
      </c>
      <c r="G29" s="139">
        <f t="shared" si="1"/>
        <v>1.35</v>
      </c>
      <c r="H29" s="140" t="str">
        <f t="shared" si="3"/>
        <v>Medium</v>
      </c>
      <c r="I29" s="140"/>
      <c r="J29" s="141">
        <f t="shared" si="2"/>
        <v>1.35</v>
      </c>
      <c r="K29" s="140" t="str">
        <f>IF(AND(J29&gt;=$C$6,J29&lt;=$D$6),$B$6,IF(AND(J29&gt;=$C$5,J29&lt;=$D$5),$B$5,IF(AND(J29&gt;=$C$4,J29&lt;=$D$4),$B$4,IF(AND(J29&gt;=#REF!,J29&lt;=#REF!),#REF!))))</f>
        <v>Medium</v>
      </c>
      <c r="L29" s="160" t="s">
        <v>1327</v>
      </c>
      <c r="M29" s="159">
        <v>1.6670000000000001E-2</v>
      </c>
    </row>
    <row r="30" spans="2:13" s="132" customFormat="1" x14ac:dyDescent="0.25">
      <c r="B30" s="137" t="s">
        <v>144</v>
      </c>
      <c r="C30" s="138">
        <f>[11]FATF!D22</f>
        <v>1</v>
      </c>
      <c r="D30" s="138">
        <f>[11]BASEL!H23</f>
        <v>2</v>
      </c>
      <c r="E30" s="138">
        <v>1</v>
      </c>
      <c r="F30" s="138">
        <v>1</v>
      </c>
      <c r="G30" s="139">
        <f t="shared" si="1"/>
        <v>1.35</v>
      </c>
      <c r="H30" s="140" t="str">
        <f t="shared" si="3"/>
        <v>Medium</v>
      </c>
      <c r="I30" s="140"/>
      <c r="J30" s="141">
        <f t="shared" si="2"/>
        <v>1.35</v>
      </c>
      <c r="K30" s="140" t="str">
        <f>IF(AND(J30&gt;=$C$6,J30&lt;=$D$6),$B$6,IF(AND(J30&gt;=$C$5,J30&lt;=$D$5),$B$5,IF(AND(J30&gt;=$C$4,J30&lt;=$D$4),$B$4,IF(AND(J30&gt;=#REF!,J30&lt;=#REF!),#REF!))))</f>
        <v>Medium</v>
      </c>
      <c r="L30" s="160" t="s">
        <v>1328</v>
      </c>
      <c r="M30" s="159">
        <v>2.5000000000000001E-2</v>
      </c>
    </row>
    <row r="31" spans="2:13" s="132" customFormat="1" x14ac:dyDescent="0.25">
      <c r="B31" s="137" t="s">
        <v>145</v>
      </c>
      <c r="C31" s="138">
        <f>[11]FATF!D23</f>
        <v>1</v>
      </c>
      <c r="D31" s="138">
        <f>[11]BASEL!H24</f>
        <v>2</v>
      </c>
      <c r="E31" s="138">
        <v>1</v>
      </c>
      <c r="F31" s="138">
        <v>1</v>
      </c>
      <c r="G31" s="139">
        <f t="shared" si="1"/>
        <v>1.35</v>
      </c>
      <c r="H31" s="140" t="str">
        <f t="shared" si="3"/>
        <v>Medium</v>
      </c>
      <c r="I31" s="140"/>
      <c r="J31" s="141">
        <f t="shared" si="2"/>
        <v>1.35</v>
      </c>
      <c r="K31" s="140" t="str">
        <f>IF(AND(J31&gt;=$C$6,J31&lt;=$D$6),$B$6,IF(AND(J31&gt;=$C$5,J31&lt;=$D$5),$B$5,IF(AND(J31&gt;=$C$4,J31&lt;=$D$4),$B$4,IF(AND(J31&gt;=#REF!,J31&lt;=#REF!),#REF!))))</f>
        <v>Medium</v>
      </c>
      <c r="L31" s="160" t="s">
        <v>1329</v>
      </c>
      <c r="M31" s="159">
        <v>8.3300000000000006E-3</v>
      </c>
    </row>
    <row r="32" spans="2:13" s="132" customFormat="1" x14ac:dyDescent="0.25">
      <c r="B32" s="137" t="s">
        <v>146</v>
      </c>
      <c r="C32" s="138">
        <f>[11]FATF!D24</f>
        <v>1</v>
      </c>
      <c r="D32" s="138">
        <f>[11]BASEL!H25</f>
        <v>2</v>
      </c>
      <c r="E32" s="138">
        <v>2</v>
      </c>
      <c r="F32" s="138">
        <v>1</v>
      </c>
      <c r="G32" s="139">
        <f t="shared" si="1"/>
        <v>1.6500000000000001</v>
      </c>
      <c r="H32" s="140" t="str">
        <f t="shared" si="3"/>
        <v>Medium</v>
      </c>
      <c r="I32" s="140"/>
      <c r="J32" s="141">
        <f t="shared" si="2"/>
        <v>1.6500000000000001</v>
      </c>
      <c r="K32" s="140" t="str">
        <f>IF(AND(J32&gt;=$C$6,J32&lt;=$D$6),$B$6,IF(AND(J32&gt;=$C$5,J32&lt;=$D$5),$B$5,IF(AND(J32&gt;=$C$4,J32&lt;=$D$4),$B$4,IF(AND(J32&gt;=#REF!,J32&lt;=#REF!),#REF!))))</f>
        <v>Medium</v>
      </c>
    </row>
    <row r="33" spans="2:11" s="132" customFormat="1" x14ac:dyDescent="0.25">
      <c r="B33" s="137" t="s">
        <v>147</v>
      </c>
      <c r="C33" s="138">
        <f>[11]FATF!D25</f>
        <v>1</v>
      </c>
      <c r="D33" s="138">
        <f>[11]BASEL!H26</f>
        <v>2</v>
      </c>
      <c r="E33" s="138">
        <v>1</v>
      </c>
      <c r="F33" s="138">
        <v>1</v>
      </c>
      <c r="G33" s="139">
        <f t="shared" si="1"/>
        <v>1.35</v>
      </c>
      <c r="H33" s="140" t="str">
        <f>IF(AND(G33&gt;=$C$6,G33&lt;=$D$6),$B$6,IF(AND(G33&gt;=$C$5,G33&lt;=$D$5),$B$5,IF(AND(G33&gt;=$C$4,G33&lt;=$D$4),$B$4,IF(AND(G33&gt;=#REF!,G33&lt;=#REF!),#REF!))))</f>
        <v>Medium</v>
      </c>
      <c r="I33" s="140"/>
      <c r="J33" s="141">
        <f t="shared" si="2"/>
        <v>1.35</v>
      </c>
      <c r="K33" s="140" t="str">
        <f>IF(AND(J33&gt;=$C$6,J33&lt;=$D$6),$B$6,IF(AND(J33&gt;=$C$5,J33&lt;=$D$5),$B$5,IF(AND(J33&gt;=$C$4,J33&lt;=$D$4),$B$4,IF(AND(J33&gt;=#REF!,J33&lt;=#REF!),#REF!))))</f>
        <v>Medium</v>
      </c>
    </row>
    <row r="34" spans="2:11" s="132" customFormat="1" x14ac:dyDescent="0.25">
      <c r="B34" s="137" t="s">
        <v>148</v>
      </c>
      <c r="C34" s="138">
        <f>[11]FATF!D26</f>
        <v>1</v>
      </c>
      <c r="D34" s="138">
        <f>[11]BASEL!H27</f>
        <v>2</v>
      </c>
      <c r="E34" s="138">
        <v>1</v>
      </c>
      <c r="F34" s="138">
        <v>1</v>
      </c>
      <c r="G34" s="139">
        <f t="shared" si="1"/>
        <v>1.35</v>
      </c>
      <c r="H34" s="140" t="str">
        <f>IF(AND(G34&gt;=$C$6,G34&lt;=$D$6),$B$6,IF(AND(G34&gt;=$C$5,G34&lt;=$D$5),$B$5,IF(AND(G34&gt;=$C$4,G34&lt;=$D$4),$B$4,IF(AND(G34&gt;=#REF!,G34&lt;=#REF!),#REF!))))</f>
        <v>Medium</v>
      </c>
      <c r="I34" s="140"/>
      <c r="J34" s="141">
        <f t="shared" si="2"/>
        <v>1.35</v>
      </c>
      <c r="K34" s="140" t="str">
        <f>IF(AND(J34&gt;=$C$6,J34&lt;=$D$6),$B$6,IF(AND(J34&gt;=$C$5,J34&lt;=$D$5),$B$5,IF(AND(J34&gt;=$C$4,J34&lt;=$D$4),$B$4,IF(AND(J34&gt;=#REF!,J34&lt;=#REF!),#REF!))))</f>
        <v>Medium</v>
      </c>
    </row>
    <row r="35" spans="2:11" s="132" customFormat="1" x14ac:dyDescent="0.25">
      <c r="B35" s="137" t="s">
        <v>149</v>
      </c>
      <c r="C35" s="138">
        <f>[11]FATF!D27</f>
        <v>1</v>
      </c>
      <c r="D35" s="138">
        <f>[11]BASEL!H28</f>
        <v>2</v>
      </c>
      <c r="E35" s="138">
        <v>1</v>
      </c>
      <c r="F35" s="138">
        <v>1</v>
      </c>
      <c r="G35" s="139">
        <f t="shared" si="1"/>
        <v>1.35</v>
      </c>
      <c r="H35" s="140" t="str">
        <f>IF(AND(G35&gt;=$C$6,G35&lt;=$D$6),$B$6,IF(AND(G35&gt;=$C$5,G35&lt;=$D$5),$B$5,IF(AND(G35&gt;=$C$4,G35&lt;=$D$4),$B$4,IF(AND(G35&gt;=#REF!,G35&lt;=#REF!),#REF!))))</f>
        <v>Medium</v>
      </c>
      <c r="I35" s="140"/>
      <c r="J35" s="141">
        <f t="shared" si="2"/>
        <v>1.35</v>
      </c>
      <c r="K35" s="140" t="str">
        <f>IF(AND(J35&gt;=$C$6,J35&lt;=$D$6),$B$6,IF(AND(J35&gt;=$C$5,J35&lt;=$D$5),$B$5,IF(AND(J35&gt;=$C$4,J35&lt;=$D$4),$B$4,IF(AND(J35&gt;=#REF!,J35&lt;=#REF!),#REF!))))</f>
        <v>Medium</v>
      </c>
    </row>
    <row r="36" spans="2:11" s="132" customFormat="1" x14ac:dyDescent="0.25">
      <c r="B36" s="137" t="s">
        <v>150</v>
      </c>
      <c r="C36" s="138">
        <f>[11]FATF!D28</f>
        <v>1</v>
      </c>
      <c r="D36" s="138">
        <f>[11]BASEL!H29</f>
        <v>2</v>
      </c>
      <c r="E36" s="138">
        <v>1</v>
      </c>
      <c r="F36" s="138">
        <v>1</v>
      </c>
      <c r="G36" s="139">
        <f t="shared" si="1"/>
        <v>1.35</v>
      </c>
      <c r="H36" s="140" t="str">
        <f>IF(AND(G36&gt;=$C$6,G36&lt;=$D$6),$B$6,IF(AND(G36&gt;=$C$5,G36&lt;=$D$5),$B$5,IF(AND(G36&gt;=$C$4,G36&lt;=$D$4),$B$4,IF(AND(G36&gt;=#REF!,G36&lt;=#REF!),#REF!))))</f>
        <v>Medium</v>
      </c>
      <c r="I36" s="140"/>
      <c r="J36" s="141">
        <f t="shared" si="2"/>
        <v>1.35</v>
      </c>
      <c r="K36" s="140" t="str">
        <f>IF(AND(J36&gt;=$C$6,J36&lt;=$D$6),$B$6,IF(AND(J36&gt;=$C$5,J36&lt;=$D$5),$B$5,IF(AND(J36&gt;=$C$4,J36&lt;=$D$4),$B$4,IF(AND(J36&gt;=#REF!,J36&lt;=#REF!),#REF!))))</f>
        <v>Medium</v>
      </c>
    </row>
    <row r="37" spans="2:11" s="132" customFormat="1" x14ac:dyDescent="0.25">
      <c r="B37" s="137" t="s">
        <v>151</v>
      </c>
      <c r="C37" s="138">
        <f>[11]FATF!D29</f>
        <v>1</v>
      </c>
      <c r="D37" s="138">
        <f>[11]BASEL!H30</f>
        <v>2</v>
      </c>
      <c r="E37" s="138">
        <v>1</v>
      </c>
      <c r="F37" s="138">
        <v>1</v>
      </c>
      <c r="G37" s="139">
        <f t="shared" si="1"/>
        <v>1.35</v>
      </c>
      <c r="H37" s="140" t="str">
        <f>IF(AND(G37&gt;=$C$6,G37&lt;=$D$6),$B$6,IF(AND(G37&gt;=$C$5,G37&lt;=$D$5),$B$5,IF(AND(G37&gt;=$C$4,G37&lt;=$D$4),$B$4,IF(AND(G37&gt;=#REF!,G37&lt;=#REF!),#REF!))))</f>
        <v>Medium</v>
      </c>
      <c r="I37" s="140"/>
      <c r="J37" s="141">
        <f t="shared" si="2"/>
        <v>1.35</v>
      </c>
      <c r="K37" s="140" t="str">
        <f>IF(AND(J37&gt;=$C$6,J37&lt;=$D$6),$B$6,IF(AND(J37&gt;=$C$5,J37&lt;=$D$5),$B$5,IF(AND(J37&gt;=$C$4,J37&lt;=$D$4),$B$4,IF(AND(J37&gt;=#REF!,J37&lt;=#REF!),#REF!))))</f>
        <v>Medium</v>
      </c>
    </row>
    <row r="38" spans="2:11" s="132" customFormat="1" x14ac:dyDescent="0.25">
      <c r="B38" s="137" t="s">
        <v>152</v>
      </c>
      <c r="C38" s="138">
        <f>[11]FATF!D30</f>
        <v>1</v>
      </c>
      <c r="D38" s="138">
        <f>[11]BASEL!H31</f>
        <v>2</v>
      </c>
      <c r="E38" s="138">
        <v>1</v>
      </c>
      <c r="F38" s="138">
        <v>1</v>
      </c>
      <c r="G38" s="139">
        <f t="shared" si="1"/>
        <v>1.35</v>
      </c>
      <c r="H38" s="140" t="str">
        <f>IF(AND(G38&gt;=$C$6,G38&lt;=$D$6),$B$6,IF(AND(G38&gt;=$C$5,G38&lt;=$D$5),$B$5,IF(AND(G38&gt;=$C$4,G38&lt;=$D$4),$B$4,IF(AND(G38&gt;=#REF!,G38&lt;=#REF!),#REF!))))</f>
        <v>Medium</v>
      </c>
      <c r="I38" s="140"/>
      <c r="J38" s="141">
        <f t="shared" si="2"/>
        <v>1.35</v>
      </c>
      <c r="K38" s="140" t="str">
        <f>IF(AND(J38&gt;=$C$6,J38&lt;=$D$6),$B$6,IF(AND(J38&gt;=$C$5,J38&lt;=$D$5),$B$5,IF(AND(J38&gt;=$C$4,J38&lt;=$D$4),$B$4,IF(AND(J38&gt;=#REF!,J38&lt;=#REF!),#REF!))))</f>
        <v>Medium</v>
      </c>
    </row>
    <row r="39" spans="2:11" s="132" customFormat="1" x14ac:dyDescent="0.25">
      <c r="B39" s="137" t="s">
        <v>1350</v>
      </c>
      <c r="C39" s="142">
        <v>1</v>
      </c>
      <c r="D39" s="142">
        <v>1</v>
      </c>
      <c r="E39" s="138">
        <v>1</v>
      </c>
      <c r="F39" s="138">
        <v>1</v>
      </c>
      <c r="G39" s="139">
        <f t="shared" si="1"/>
        <v>1</v>
      </c>
      <c r="H39" s="140" t="str">
        <f>IF(AND(G39&gt;=$C$6,G39&lt;=$D$6),$B$6,IF(AND(G39&gt;=$C$5,G39&lt;=$D$5),$B$5,IF(AND(G39&gt;=$C$4,G39&lt;=$D$4),$B$4,IF(AND(G39&gt;=#REF!,G39&lt;=#REF!),#REF!))))</f>
        <v>Low</v>
      </c>
      <c r="I39" s="140"/>
      <c r="J39" s="141">
        <f t="shared" si="2"/>
        <v>1</v>
      </c>
      <c r="K39" s="140" t="str">
        <f>IF(AND(J39&gt;=$C$6,J39&lt;=$D$6),$B$6,IF(AND(J39&gt;=$C$5,J39&lt;=$D$5),$B$5,IF(AND(J39&gt;=$C$4,J39&lt;=$D$4),$B$4,IF(AND(J39&gt;=#REF!,J39&lt;=#REF!),#REF!))))</f>
        <v>Low</v>
      </c>
    </row>
    <row r="40" spans="2:11" s="132" customFormat="1" x14ac:dyDescent="0.25">
      <c r="B40" s="137" t="s">
        <v>153</v>
      </c>
      <c r="C40" s="138">
        <f>[11]FATF!D32</f>
        <v>1</v>
      </c>
      <c r="D40" s="138">
        <f>[11]BASEL!H33</f>
        <v>2</v>
      </c>
      <c r="E40" s="138">
        <v>2</v>
      </c>
      <c r="F40" s="138">
        <v>1</v>
      </c>
      <c r="G40" s="139">
        <f t="shared" si="1"/>
        <v>1.6500000000000001</v>
      </c>
      <c r="H40" s="140" t="str">
        <f>IF(AND(G40&gt;=$C$6,G40&lt;=$D$6),$B$6,IF(AND(G40&gt;=$C$5,G40&lt;=$D$5),$B$5,IF(AND(G40&gt;=$C$4,G40&lt;=$D$4),$B$4,IF(AND(G40&gt;=#REF!,G40&lt;=#REF!),#REF!))))</f>
        <v>Medium</v>
      </c>
      <c r="I40" s="140"/>
      <c r="J40" s="141">
        <f t="shared" si="2"/>
        <v>1.6500000000000001</v>
      </c>
      <c r="K40" s="140" t="str">
        <f>IF(AND(J40&gt;=$C$6,J40&lt;=$D$6),$B$6,IF(AND(J40&gt;=$C$5,J40&lt;=$D$5),$B$5,IF(AND(J40&gt;=$C$4,J40&lt;=$D$4),$B$4,IF(AND(J40&gt;=#REF!,J40&lt;=#REF!),#REF!))))</f>
        <v>Medium</v>
      </c>
    </row>
    <row r="41" spans="2:11" s="132" customFormat="1" x14ac:dyDescent="0.25">
      <c r="B41" s="137" t="s">
        <v>154</v>
      </c>
      <c r="C41" s="138">
        <f>[11]FATF!D33</f>
        <v>1</v>
      </c>
      <c r="D41" s="138">
        <f>[11]BASEL!H34</f>
        <v>2</v>
      </c>
      <c r="E41" s="138">
        <v>1</v>
      </c>
      <c r="F41" s="138">
        <v>1</v>
      </c>
      <c r="G41" s="139">
        <f t="shared" si="1"/>
        <v>1.35</v>
      </c>
      <c r="H41" s="140" t="str">
        <f>IF(AND(G41&gt;=$C$6,G41&lt;=$D$6),$B$6,IF(AND(G41&gt;=$C$5,G41&lt;=$D$5),$B$5,IF(AND(G41&gt;=$C$4,G41&lt;=$D$4),$B$4,IF(AND(G41&gt;=#REF!,G41&lt;=#REF!),#REF!))))</f>
        <v>Medium</v>
      </c>
      <c r="I41" s="140"/>
      <c r="J41" s="141">
        <f t="shared" si="2"/>
        <v>1.35</v>
      </c>
      <c r="K41" s="140" t="str">
        <f>IF(AND(J41&gt;=$C$6,J41&lt;=$D$6),$B$6,IF(AND(J41&gt;=$C$5,J41&lt;=$D$5),$B$5,IF(AND(J41&gt;=$C$4,J41&lt;=$D$4),$B$4,IF(AND(J41&gt;=#REF!,J41&lt;=#REF!),#REF!))))</f>
        <v>Medium</v>
      </c>
    </row>
    <row r="42" spans="2:11" s="132" customFormat="1" x14ac:dyDescent="0.25">
      <c r="B42" s="137" t="s">
        <v>1351</v>
      </c>
      <c r="C42" s="142">
        <v>1</v>
      </c>
      <c r="D42" s="142">
        <v>1</v>
      </c>
      <c r="E42" s="138">
        <v>1</v>
      </c>
      <c r="F42" s="138">
        <v>1</v>
      </c>
      <c r="G42" s="139">
        <f t="shared" si="1"/>
        <v>1</v>
      </c>
      <c r="H42" s="140" t="str">
        <f>IF(AND(G42&gt;=$C$6,G42&lt;=$D$6),$B$6,IF(AND(G42&gt;=$C$5,G42&lt;=$D$5),$B$5,IF(AND(G42&gt;=$C$4,G42&lt;=$D$4),$B$4,IF(AND(G42&gt;=#REF!,G42&lt;=#REF!),#REF!))))</f>
        <v>Low</v>
      </c>
      <c r="I42" s="140"/>
      <c r="J42" s="141">
        <f t="shared" si="2"/>
        <v>1</v>
      </c>
      <c r="K42" s="140" t="str">
        <f>IF(AND(J42&gt;=$C$6,J42&lt;=$D$6),$B$6,IF(AND(J42&gt;=$C$5,J42&lt;=$D$5),$B$5,IF(AND(J42&gt;=$C$4,J42&lt;=$D$4),$B$4,IF(AND(J42&gt;=#REF!,J42&lt;=#REF!),#REF!))))</f>
        <v>Low</v>
      </c>
    </row>
    <row r="43" spans="2:11" s="132" customFormat="1" x14ac:dyDescent="0.25">
      <c r="B43" s="137" t="s">
        <v>155</v>
      </c>
      <c r="C43" s="138">
        <f>[11]FATF!D35</f>
        <v>1</v>
      </c>
      <c r="D43" s="138">
        <f>[11]BASEL!H36</f>
        <v>2</v>
      </c>
      <c r="E43" s="138">
        <v>1</v>
      </c>
      <c r="F43" s="138">
        <v>1</v>
      </c>
      <c r="G43" s="139">
        <f t="shared" si="1"/>
        <v>1.35</v>
      </c>
      <c r="H43" s="140" t="str">
        <f>IF(AND(G43&gt;=$C$6,G43&lt;=$D$6),$B$6,IF(AND(G43&gt;=$C$5,G43&lt;=$D$5),$B$5,IF(AND(G43&gt;=$C$4,G43&lt;=$D$4),$B$4,IF(AND(G43&gt;=#REF!,G43&lt;=#REF!),#REF!))))</f>
        <v>Medium</v>
      </c>
      <c r="I43" s="140"/>
      <c r="J43" s="141">
        <f t="shared" si="2"/>
        <v>1.35</v>
      </c>
      <c r="K43" s="140" t="str">
        <f>IF(AND(J43&gt;=$C$6,J43&lt;=$D$6),$B$6,IF(AND(J43&gt;=$C$5,J43&lt;=$D$5),$B$5,IF(AND(J43&gt;=$C$4,J43&lt;=$D$4),$B$4,IF(AND(J43&gt;=#REF!,J43&lt;=#REF!),#REF!))))</f>
        <v>Medium</v>
      </c>
    </row>
    <row r="44" spans="2:11" s="132" customFormat="1" x14ac:dyDescent="0.25">
      <c r="B44" s="137" t="s">
        <v>1352</v>
      </c>
      <c r="C44" s="142">
        <v>1</v>
      </c>
      <c r="D44" s="142">
        <v>1</v>
      </c>
      <c r="E44" s="138">
        <v>1</v>
      </c>
      <c r="F44" s="138">
        <v>1</v>
      </c>
      <c r="G44" s="139">
        <f t="shared" si="1"/>
        <v>1</v>
      </c>
      <c r="H44" s="140" t="str">
        <f>IF(AND(G44&gt;=$C$6,G44&lt;=$D$6),$B$6,IF(AND(G44&gt;=$C$5,G44&lt;=$D$5),$B$5,IF(AND(G44&gt;=$C$4,G44&lt;=$D$4),$B$4,IF(AND(G44&gt;=#REF!,G44&lt;=#REF!),#REF!))))</f>
        <v>Low</v>
      </c>
      <c r="I44" s="140"/>
      <c r="J44" s="141">
        <f t="shared" si="2"/>
        <v>1</v>
      </c>
      <c r="K44" s="140" t="str">
        <f>IF(AND(J44&gt;=$C$6,J44&lt;=$D$6),$B$6,IF(AND(J44&gt;=$C$5,J44&lt;=$D$5),$B$5,IF(AND(J44&gt;=$C$4,J44&lt;=$D$4),$B$4,IF(AND(J44&gt;=#REF!,J44&lt;=#REF!),#REF!))))</f>
        <v>Low</v>
      </c>
    </row>
    <row r="45" spans="2:11" s="132" customFormat="1" x14ac:dyDescent="0.25">
      <c r="B45" s="137" t="s">
        <v>156</v>
      </c>
      <c r="C45" s="138">
        <f>[11]FATF!D37</f>
        <v>1</v>
      </c>
      <c r="D45" s="138">
        <f>[11]BASEL!H38</f>
        <v>2</v>
      </c>
      <c r="E45" s="138">
        <v>1</v>
      </c>
      <c r="F45" s="138">
        <v>1</v>
      </c>
      <c r="G45" s="139">
        <f t="shared" si="1"/>
        <v>1.35</v>
      </c>
      <c r="H45" s="140" t="str">
        <f>IF(AND(G45&gt;=$C$6,G45&lt;=$D$6),$B$6,IF(AND(G45&gt;=$C$5,G45&lt;=$D$5),$B$5,IF(AND(G45&gt;=$C$4,G45&lt;=$D$4),$B$4,IF(AND(G45&gt;=#REF!,G45&lt;=#REF!),#REF!))))</f>
        <v>Medium</v>
      </c>
      <c r="I45" s="140"/>
      <c r="J45" s="141">
        <f t="shared" si="2"/>
        <v>1.35</v>
      </c>
      <c r="K45" s="140" t="str">
        <f>IF(AND(J45&gt;=$C$6,J45&lt;=$D$6),$B$6,IF(AND(J45&gt;=$C$5,J45&lt;=$D$5),$B$5,IF(AND(J45&gt;=$C$4,J45&lt;=$D$4),$B$4,IF(AND(J45&gt;=#REF!,J45&lt;=#REF!),#REF!))))</f>
        <v>Medium</v>
      </c>
    </row>
    <row r="46" spans="2:11" s="132" customFormat="1" x14ac:dyDescent="0.25">
      <c r="B46" s="137" t="s">
        <v>157</v>
      </c>
      <c r="C46" s="138">
        <f>[11]FATF!D38</f>
        <v>1</v>
      </c>
      <c r="D46" s="138">
        <f>[11]BASEL!H39</f>
        <v>2</v>
      </c>
      <c r="E46" s="138">
        <v>1</v>
      </c>
      <c r="F46" s="138">
        <v>1</v>
      </c>
      <c r="G46" s="139">
        <f t="shared" si="1"/>
        <v>1.35</v>
      </c>
      <c r="H46" s="140" t="str">
        <f>IF(AND(G46&gt;=$C$6,G46&lt;=$D$6),$B$6,IF(AND(G46&gt;=$C$5,G46&lt;=$D$5),$B$5,IF(AND(G46&gt;=$C$4,G46&lt;=$D$4),$B$4,IF(AND(G46&gt;=#REF!,G46&lt;=#REF!),#REF!))))</f>
        <v>Medium</v>
      </c>
      <c r="I46" s="140"/>
      <c r="J46" s="141">
        <f t="shared" si="2"/>
        <v>1.35</v>
      </c>
      <c r="K46" s="140" t="str">
        <f>IF(AND(J46&gt;=$C$6,J46&lt;=$D$6),$B$6,IF(AND(J46&gt;=$C$5,J46&lt;=$D$5),$B$5,IF(AND(J46&gt;=$C$4,J46&lt;=$D$4),$B$4,IF(AND(J46&gt;=#REF!,J46&lt;=#REF!),#REF!))))</f>
        <v>Medium</v>
      </c>
    </row>
    <row r="47" spans="2:11" s="132" customFormat="1" x14ac:dyDescent="0.25">
      <c r="B47" s="137" t="s">
        <v>158</v>
      </c>
      <c r="C47" s="138">
        <f>[11]FATF!D39</f>
        <v>2</v>
      </c>
      <c r="D47" s="138">
        <f>[11]BASEL!H40</f>
        <v>2</v>
      </c>
      <c r="E47" s="138">
        <v>2</v>
      </c>
      <c r="F47" s="138">
        <v>1</v>
      </c>
      <c r="G47" s="139">
        <f t="shared" si="1"/>
        <v>1.95</v>
      </c>
      <c r="H47" s="140" t="str">
        <f>IF(AND(G47&gt;=$C$6,G47&lt;=$D$6),$B$6,IF(AND(G47&gt;=$C$5,G47&lt;=$D$5),$B$5,IF(AND(G47&gt;=$C$4,G47&lt;=$D$4),$B$4,IF(AND(G47&gt;=#REF!,G47&lt;=#REF!),#REF!))))</f>
        <v>Medium</v>
      </c>
      <c r="I47" s="140" t="s">
        <v>1393</v>
      </c>
      <c r="J47" s="141">
        <f t="shared" si="2"/>
        <v>3</v>
      </c>
      <c r="K47" s="140" t="str">
        <f>IF(AND(J47&gt;=$C$6,J47&lt;=$D$6),$B$6,IF(AND(J47&gt;=$C$5,J47&lt;=$D$5),$B$5,IF(AND(J47&gt;=$C$4,J47&lt;=$D$4),$B$4,IF(AND(J47&gt;=#REF!,J47&lt;=#REF!),#REF!))))</f>
        <v>High</v>
      </c>
    </row>
    <row r="48" spans="2:11" s="132" customFormat="1" x14ac:dyDescent="0.25">
      <c r="B48" s="137" t="s">
        <v>159</v>
      </c>
      <c r="C48" s="138">
        <f>[11]FATF!D40</f>
        <v>2</v>
      </c>
      <c r="D48" s="138">
        <f>[11]BASEL!H41</f>
        <v>2</v>
      </c>
      <c r="E48" s="138">
        <v>1</v>
      </c>
      <c r="F48" s="138">
        <v>3</v>
      </c>
      <c r="G48" s="139">
        <f t="shared" si="1"/>
        <v>1.75</v>
      </c>
      <c r="H48" s="140" t="str">
        <f>IF(AND(G48&gt;=$C$6,G48&lt;=$D$6),$B$6,IF(AND(G48&gt;=$C$5,G48&lt;=$D$5),$B$5,IF(AND(G48&gt;=$C$4,G48&lt;=$D$4),$B$4,IF(AND(G48&gt;=#REF!,G48&lt;=#REF!),#REF!))))</f>
        <v>Medium</v>
      </c>
      <c r="I48" s="140" t="s">
        <v>1393</v>
      </c>
      <c r="J48" s="141">
        <f t="shared" si="2"/>
        <v>3</v>
      </c>
      <c r="K48" s="140" t="str">
        <f>IF(AND(J48&gt;=$C$6,J48&lt;=$D$6),$B$6,IF(AND(J48&gt;=$C$5,J48&lt;=$D$5),$B$5,IF(AND(J48&gt;=$C$4,J48&lt;=$D$4),$B$4,IF(AND(J48&gt;=#REF!,J48&lt;=#REF!),#REF!))))</f>
        <v>High</v>
      </c>
    </row>
    <row r="49" spans="2:11" s="132" customFormat="1" x14ac:dyDescent="0.25">
      <c r="B49" s="137" t="s">
        <v>160</v>
      </c>
      <c r="C49" s="138">
        <f>[11]FATF!D41</f>
        <v>1</v>
      </c>
      <c r="D49" s="138">
        <f>[11]BASEL!H42</f>
        <v>2</v>
      </c>
      <c r="E49" s="138">
        <v>2</v>
      </c>
      <c r="F49" s="138">
        <v>1</v>
      </c>
      <c r="G49" s="139">
        <f t="shared" si="1"/>
        <v>1.6500000000000001</v>
      </c>
      <c r="H49" s="140" t="str">
        <f>IF(AND(G49&gt;=$C$6,G49&lt;=$D$6),$B$6,IF(AND(G49&gt;=$C$5,G49&lt;=$D$5),$B$5,IF(AND(G49&gt;=$C$4,G49&lt;=$D$4),$B$4,IF(AND(G49&gt;=#REF!,G49&lt;=#REF!),#REF!))))</f>
        <v>Medium</v>
      </c>
      <c r="I49" s="140"/>
      <c r="J49" s="141">
        <f t="shared" si="2"/>
        <v>1.6500000000000001</v>
      </c>
      <c r="K49" s="140" t="str">
        <f>IF(AND(J49&gt;=$C$6,J49&lt;=$D$6),$B$6,IF(AND(J49&gt;=$C$5,J49&lt;=$D$5),$B$5,IF(AND(J49&gt;=$C$4,J49&lt;=$D$4),$B$4,IF(AND(J49&gt;=#REF!,J49&lt;=#REF!),#REF!))))</f>
        <v>Medium</v>
      </c>
    </row>
    <row r="50" spans="2:11" s="132" customFormat="1" x14ac:dyDescent="0.25">
      <c r="B50" s="137" t="s">
        <v>161</v>
      </c>
      <c r="C50" s="138">
        <f>[11]FATF!D42</f>
        <v>1</v>
      </c>
      <c r="D50" s="138">
        <f>[11]BASEL!H43</f>
        <v>2</v>
      </c>
      <c r="E50" s="138">
        <v>1</v>
      </c>
      <c r="F50" s="138">
        <v>1</v>
      </c>
      <c r="G50" s="139">
        <f t="shared" si="1"/>
        <v>1.35</v>
      </c>
      <c r="H50" s="140" t="str">
        <f>IF(AND(G50&gt;=$C$6,G50&lt;=$D$6),$B$6,IF(AND(G50&gt;=$C$5,G50&lt;=$D$5),$B$5,IF(AND(G50&gt;=$C$4,G50&lt;=$D$4),$B$4,IF(AND(G50&gt;=#REF!,G50&lt;=#REF!),#REF!))))</f>
        <v>Medium</v>
      </c>
      <c r="I50" s="140"/>
      <c r="J50" s="141">
        <f t="shared" si="2"/>
        <v>1.35</v>
      </c>
      <c r="K50" s="140" t="str">
        <f>IF(AND(J50&gt;=$C$6,J50&lt;=$D$6),$B$6,IF(AND(J50&gt;=$C$5,J50&lt;=$D$5),$B$5,IF(AND(J50&gt;=$C$4,J50&lt;=$D$4),$B$4,IF(AND(J50&gt;=#REF!,J50&lt;=#REF!),#REF!))))</f>
        <v>Medium</v>
      </c>
    </row>
    <row r="51" spans="2:11" s="132" customFormat="1" x14ac:dyDescent="0.25">
      <c r="B51" s="137" t="s">
        <v>162</v>
      </c>
      <c r="C51" s="138">
        <f>[11]FATF!D43</f>
        <v>2</v>
      </c>
      <c r="D51" s="138">
        <f>[11]BASEL!H44</f>
        <v>2</v>
      </c>
      <c r="E51" s="138">
        <v>1</v>
      </c>
      <c r="F51" s="138">
        <v>3</v>
      </c>
      <c r="G51" s="139">
        <f t="shared" si="1"/>
        <v>1.75</v>
      </c>
      <c r="H51" s="140" t="str">
        <f>IF(AND(G51&gt;=$C$6,G51&lt;=$D$6),$B$6,IF(AND(G51&gt;=$C$5,G51&lt;=$D$5),$B$5,IF(AND(G51&gt;=$C$4,G51&lt;=$D$4),$B$4,IF(AND(G51&gt;=#REF!,G51&lt;=#REF!),#REF!))))</f>
        <v>Medium</v>
      </c>
      <c r="I51" s="140" t="s">
        <v>1393</v>
      </c>
      <c r="J51" s="141">
        <f t="shared" si="2"/>
        <v>3</v>
      </c>
      <c r="K51" s="140" t="str">
        <f>IF(AND(J51&gt;=$C$6,J51&lt;=$D$6),$B$6,IF(AND(J51&gt;=$C$5,J51&lt;=$D$5),$B$5,IF(AND(J51&gt;=$C$4,J51&lt;=$D$4),$B$4,IF(AND(J51&gt;=#REF!,J51&lt;=#REF!),#REF!))))</f>
        <v>High</v>
      </c>
    </row>
    <row r="52" spans="2:11" s="132" customFormat="1" x14ac:dyDescent="0.25">
      <c r="B52" s="137" t="s">
        <v>163</v>
      </c>
      <c r="C52" s="138">
        <f>[11]FATF!D44</f>
        <v>1</v>
      </c>
      <c r="D52" s="138">
        <f>[11]BASEL!H45</f>
        <v>2</v>
      </c>
      <c r="E52" s="138">
        <v>1</v>
      </c>
      <c r="F52" s="138">
        <v>1</v>
      </c>
      <c r="G52" s="139">
        <f t="shared" si="1"/>
        <v>1.35</v>
      </c>
      <c r="H52" s="140" t="str">
        <f>IF(AND(G52&gt;=$C$6,G52&lt;=$D$6),$B$6,IF(AND(G52&gt;=$C$5,G52&lt;=$D$5),$B$5,IF(AND(G52&gt;=$C$4,G52&lt;=$D$4),$B$4,IF(AND(G52&gt;=#REF!,G52&lt;=#REF!),#REF!))))</f>
        <v>Medium</v>
      </c>
      <c r="I52" s="140"/>
      <c r="J52" s="141">
        <f t="shared" si="2"/>
        <v>1.35</v>
      </c>
      <c r="K52" s="140" t="str">
        <f>IF(AND(J52&gt;=$C$6,J52&lt;=$D$6),$B$6,IF(AND(J52&gt;=$C$5,J52&lt;=$D$5),$B$5,IF(AND(J52&gt;=$C$4,J52&lt;=$D$4),$B$4,IF(AND(J52&gt;=#REF!,J52&lt;=#REF!),#REF!))))</f>
        <v>Medium</v>
      </c>
    </row>
    <row r="53" spans="2:11" s="132" customFormat="1" x14ac:dyDescent="0.25">
      <c r="B53" s="137" t="s">
        <v>164</v>
      </c>
      <c r="C53" s="138">
        <f>[11]FATF!D45</f>
        <v>1</v>
      </c>
      <c r="D53" s="138">
        <f>[11]BASEL!H46</f>
        <v>2</v>
      </c>
      <c r="E53" s="138">
        <v>1</v>
      </c>
      <c r="F53" s="138">
        <v>1</v>
      </c>
      <c r="G53" s="139">
        <f t="shared" si="1"/>
        <v>1.35</v>
      </c>
      <c r="H53" s="140" t="str">
        <f>IF(AND(G53&gt;=$C$6,G53&lt;=$D$6),$B$6,IF(AND(G53&gt;=$C$5,G53&lt;=$D$5),$B$5,IF(AND(G53&gt;=$C$4,G53&lt;=$D$4),$B$4,IF(AND(G53&gt;=#REF!,G53&lt;=#REF!),#REF!))))</f>
        <v>Medium</v>
      </c>
      <c r="I53" s="140"/>
      <c r="J53" s="141">
        <f t="shared" si="2"/>
        <v>1.35</v>
      </c>
      <c r="K53" s="140" t="str">
        <f>IF(AND(J53&gt;=$C$6,J53&lt;=$D$6),$B$6,IF(AND(J53&gt;=$C$5,J53&lt;=$D$5),$B$5,IF(AND(J53&gt;=$C$4,J53&lt;=$D$4),$B$4,IF(AND(J53&gt;=#REF!,J53&lt;=#REF!),#REF!))))</f>
        <v>Medium</v>
      </c>
    </row>
    <row r="54" spans="2:11" s="132" customFormat="1" x14ac:dyDescent="0.25">
      <c r="B54" s="137" t="s">
        <v>165</v>
      </c>
      <c r="C54" s="138">
        <f>[11]FATF!D46</f>
        <v>1</v>
      </c>
      <c r="D54" s="138">
        <f>[11]BASEL!H47</f>
        <v>2</v>
      </c>
      <c r="E54" s="138">
        <v>1</v>
      </c>
      <c r="F54" s="138">
        <v>1</v>
      </c>
      <c r="G54" s="139">
        <f t="shared" si="1"/>
        <v>1.35</v>
      </c>
      <c r="H54" s="140" t="str">
        <f>IF(AND(G54&gt;=$C$6,G54&lt;=$D$6),$B$6,IF(AND(G54&gt;=$C$5,G54&lt;=$D$5),$B$5,IF(AND(G54&gt;=$C$4,G54&lt;=$D$4),$B$4,IF(AND(G54&gt;=#REF!,G54&lt;=#REF!),#REF!))))</f>
        <v>Medium</v>
      </c>
      <c r="I54" s="140"/>
      <c r="J54" s="141">
        <f t="shared" si="2"/>
        <v>1.35</v>
      </c>
      <c r="K54" s="140" t="str">
        <f>IF(AND(J54&gt;=$C$6,J54&lt;=$D$6),$B$6,IF(AND(J54&gt;=$C$5,J54&lt;=$D$5),$B$5,IF(AND(J54&gt;=$C$4,J54&lt;=$D$4),$B$4,IF(AND(J54&gt;=#REF!,J54&lt;=#REF!),#REF!))))</f>
        <v>Medium</v>
      </c>
    </row>
    <row r="55" spans="2:11" s="132" customFormat="1" x14ac:dyDescent="0.25">
      <c r="B55" s="137" t="s">
        <v>166</v>
      </c>
      <c r="C55" s="138">
        <f>[11]FATF!D47</f>
        <v>1</v>
      </c>
      <c r="D55" s="138">
        <f>[11]BASEL!H48</f>
        <v>3</v>
      </c>
      <c r="E55" s="138">
        <v>2</v>
      </c>
      <c r="F55" s="138">
        <v>1</v>
      </c>
      <c r="G55" s="139">
        <f t="shared" si="1"/>
        <v>1.9999999999999998</v>
      </c>
      <c r="H55" s="140" t="str">
        <f>IF(AND(G55&gt;=$C$6,G55&lt;=$D$6),$B$6,IF(AND(G55&gt;=$C$5,G55&lt;=$D$5),$B$5,IF(AND(G55&gt;=$C$4,G55&lt;=$D$4),$B$4,IF(AND(G55&gt;=#REF!,G55&lt;=#REF!),#REF!))))</f>
        <v>Medium</v>
      </c>
      <c r="I55" s="140"/>
      <c r="J55" s="141">
        <f t="shared" si="2"/>
        <v>1.9999999999999998</v>
      </c>
      <c r="K55" s="140" t="str">
        <f>IF(AND(J55&gt;=$C$6,J55&lt;=$D$6),$B$6,IF(AND(J55&gt;=$C$5,J55&lt;=$D$5),$B$5,IF(AND(J55&gt;=$C$4,J55&lt;=$D$4),$B$4,IF(AND(J55&gt;=#REF!,J55&lt;=#REF!),#REF!))))</f>
        <v>Medium</v>
      </c>
    </row>
    <row r="56" spans="2:11" s="132" customFormat="1" x14ac:dyDescent="0.25">
      <c r="B56" s="137" t="s">
        <v>167</v>
      </c>
      <c r="C56" s="138">
        <f>[11]FATF!D48</f>
        <v>1</v>
      </c>
      <c r="D56" s="138">
        <f>[11]BASEL!H49</f>
        <v>3</v>
      </c>
      <c r="E56" s="138">
        <v>1</v>
      </c>
      <c r="F56" s="138">
        <v>3</v>
      </c>
      <c r="G56" s="139">
        <f t="shared" si="1"/>
        <v>1.7999999999999998</v>
      </c>
      <c r="H56" s="140" t="str">
        <f>IF(AND(G56&gt;=$C$6,G56&lt;=$D$6),$B$6,IF(AND(G56&gt;=$C$5,G56&lt;=$D$5),$B$5,IF(AND(G56&gt;=$C$4,G56&lt;=$D$4),$B$4,IF(AND(G56&gt;=#REF!,G56&lt;=#REF!),#REF!))))</f>
        <v>Medium</v>
      </c>
      <c r="I56" s="140"/>
      <c r="J56" s="141">
        <f t="shared" si="2"/>
        <v>1.7999999999999998</v>
      </c>
      <c r="K56" s="140" t="str">
        <f>IF(AND(J56&gt;=$C$6,J56&lt;=$D$6),$B$6,IF(AND(J56&gt;=$C$5,J56&lt;=$D$5),$B$5,IF(AND(J56&gt;=$C$4,J56&lt;=$D$4),$B$4,IF(AND(J56&gt;=#REF!,J56&lt;=#REF!),#REF!))))</f>
        <v>Medium</v>
      </c>
    </row>
    <row r="57" spans="2:11" s="132" customFormat="1" x14ac:dyDescent="0.25">
      <c r="B57" s="137" t="s">
        <v>168</v>
      </c>
      <c r="C57" s="138">
        <f>[11]FATF!D49</f>
        <v>1</v>
      </c>
      <c r="D57" s="138">
        <f>[11]BASEL!H50</f>
        <v>2</v>
      </c>
      <c r="E57" s="138">
        <v>1</v>
      </c>
      <c r="F57" s="138">
        <v>1</v>
      </c>
      <c r="G57" s="139">
        <f t="shared" si="1"/>
        <v>1.35</v>
      </c>
      <c r="H57" s="140" t="str">
        <f>IF(AND(G57&gt;=$C$6,G57&lt;=$D$6),$B$6,IF(AND(G57&gt;=$C$5,G57&lt;=$D$5),$B$5,IF(AND(G57&gt;=$C$4,G57&lt;=$D$4),$B$4,IF(AND(G57&gt;=#REF!,G57&lt;=#REF!),#REF!))))</f>
        <v>Medium</v>
      </c>
      <c r="I57" s="140"/>
      <c r="J57" s="141">
        <f t="shared" si="2"/>
        <v>1.35</v>
      </c>
      <c r="K57" s="140" t="str">
        <f>IF(AND(J57&gt;=$C$6,J57&lt;=$D$6),$B$6,IF(AND(J57&gt;=$C$5,J57&lt;=$D$5),$B$5,IF(AND(J57&gt;=$C$4,J57&lt;=$D$4),$B$4,IF(AND(J57&gt;=#REF!,J57&lt;=#REF!),#REF!))))</f>
        <v>Medium</v>
      </c>
    </row>
    <row r="58" spans="2:11" s="132" customFormat="1" x14ac:dyDescent="0.25">
      <c r="B58" s="137" t="s">
        <v>169</v>
      </c>
      <c r="C58" s="138">
        <f>[11]FATF!D50</f>
        <v>1</v>
      </c>
      <c r="D58" s="138">
        <f>[11]BASEL!H51</f>
        <v>2</v>
      </c>
      <c r="E58" s="138">
        <v>2</v>
      </c>
      <c r="F58" s="138">
        <v>1</v>
      </c>
      <c r="G58" s="139">
        <f t="shared" si="1"/>
        <v>1.6500000000000001</v>
      </c>
      <c r="H58" s="140" t="str">
        <f>IF(AND(G58&gt;=$C$6,G58&lt;=$D$6),$B$6,IF(AND(G58&gt;=$C$5,G58&lt;=$D$5),$B$5,IF(AND(G58&gt;=$C$4,G58&lt;=$D$4),$B$4,IF(AND(G58&gt;=#REF!,G58&lt;=#REF!),#REF!))))</f>
        <v>Medium</v>
      </c>
      <c r="I58" s="140"/>
      <c r="J58" s="141">
        <f t="shared" si="2"/>
        <v>1.6500000000000001</v>
      </c>
      <c r="K58" s="140" t="str">
        <f>IF(AND(J58&gt;=$C$6,J58&lt;=$D$6),$B$6,IF(AND(J58&gt;=$C$5,J58&lt;=$D$5),$B$5,IF(AND(J58&gt;=$C$4,J58&lt;=$D$4),$B$4,IF(AND(J58&gt;=#REF!,J58&lt;=#REF!),#REF!))))</f>
        <v>Medium</v>
      </c>
    </row>
    <row r="59" spans="2:11" s="132" customFormat="1" x14ac:dyDescent="0.25">
      <c r="B59" s="137" t="s">
        <v>1353</v>
      </c>
      <c r="C59" s="142">
        <v>1</v>
      </c>
      <c r="D59" s="142">
        <v>1</v>
      </c>
      <c r="E59" s="138">
        <v>1</v>
      </c>
      <c r="F59" s="138">
        <v>1</v>
      </c>
      <c r="G59" s="139">
        <f t="shared" si="1"/>
        <v>1</v>
      </c>
      <c r="H59" s="140" t="str">
        <f>IF(AND(G59&gt;=$C$6,G59&lt;=$D$6),$B$6,IF(AND(G59&gt;=$C$5,G59&lt;=$D$5),$B$5,IF(AND(G59&gt;=$C$4,G59&lt;=$D$4),$B$4,IF(AND(G59&gt;=#REF!,G59&lt;=#REF!),#REF!))))</f>
        <v>Low</v>
      </c>
      <c r="I59" s="140"/>
      <c r="J59" s="141">
        <f t="shared" si="2"/>
        <v>1</v>
      </c>
      <c r="K59" s="140" t="str">
        <f>IF(AND(J59&gt;=$C$6,J59&lt;=$D$6),$B$6,IF(AND(J59&gt;=$C$5,J59&lt;=$D$5),$B$5,IF(AND(J59&gt;=$C$4,J59&lt;=$D$4),$B$4,IF(AND(J59&gt;=#REF!,J59&lt;=#REF!),#REF!))))</f>
        <v>Low</v>
      </c>
    </row>
    <row r="60" spans="2:11" s="132" customFormat="1" x14ac:dyDescent="0.25">
      <c r="B60" s="137" t="s">
        <v>1354</v>
      </c>
      <c r="C60" s="142">
        <v>1</v>
      </c>
      <c r="D60" s="142">
        <v>1</v>
      </c>
      <c r="E60" s="138">
        <v>1</v>
      </c>
      <c r="F60" s="138">
        <v>1</v>
      </c>
      <c r="G60" s="139">
        <f t="shared" si="1"/>
        <v>1</v>
      </c>
      <c r="H60" s="140" t="str">
        <f>IF(AND(G60&gt;=$C$6,G60&lt;=$D$6),$B$6,IF(AND(G60&gt;=$C$5,G60&lt;=$D$5),$B$5,IF(AND(G60&gt;=$C$4,G60&lt;=$D$4),$B$4,IF(AND(G60&gt;=#REF!,G60&lt;=#REF!),#REF!))))</f>
        <v>Low</v>
      </c>
      <c r="I60" s="140"/>
      <c r="J60" s="141">
        <f t="shared" si="2"/>
        <v>1</v>
      </c>
      <c r="K60" s="140" t="str">
        <f>IF(AND(J60&gt;=$C$6,J60&lt;=$D$6),$B$6,IF(AND(J60&gt;=$C$5,J60&lt;=$D$5),$B$5,IF(AND(J60&gt;=$C$4,J60&lt;=$D$4),$B$4,IF(AND(J60&gt;=#REF!,J60&lt;=#REF!),#REF!))))</f>
        <v>Low</v>
      </c>
    </row>
    <row r="61" spans="2:11" s="132" customFormat="1" x14ac:dyDescent="0.25">
      <c r="B61" s="137" t="s">
        <v>170</v>
      </c>
      <c r="C61" s="138">
        <f>[11]FATF!D53</f>
        <v>1</v>
      </c>
      <c r="D61" s="138">
        <f>[11]BASEL!H54</f>
        <v>2</v>
      </c>
      <c r="E61" s="138">
        <v>1</v>
      </c>
      <c r="F61" s="138">
        <v>3</v>
      </c>
      <c r="G61" s="139">
        <f t="shared" si="1"/>
        <v>1.4500000000000002</v>
      </c>
      <c r="H61" s="140" t="str">
        <f>IF(AND(G61&gt;=$C$6,G61&lt;=$D$6),$B$6,IF(AND(G61&gt;=$C$5,G61&lt;=$D$5),$B$5,IF(AND(G61&gt;=$C$4,G61&lt;=$D$4),$B$4,IF(AND(G61&gt;=#REF!,G61&lt;=#REF!),#REF!))))</f>
        <v>Medium</v>
      </c>
      <c r="I61" s="140"/>
      <c r="J61" s="141">
        <f t="shared" si="2"/>
        <v>1.4500000000000002</v>
      </c>
      <c r="K61" s="140" t="str">
        <f>IF(AND(J61&gt;=$C$6,J61&lt;=$D$6),$B$6,IF(AND(J61&gt;=$C$5,J61&lt;=$D$5),$B$5,IF(AND(J61&gt;=$C$4,J61&lt;=$D$4),$B$4,IF(AND(J61&gt;=#REF!,J61&lt;=#REF!),#REF!))))</f>
        <v>Medium</v>
      </c>
    </row>
    <row r="62" spans="2:11" s="132" customFormat="1" x14ac:dyDescent="0.25">
      <c r="B62" s="137" t="s">
        <v>171</v>
      </c>
      <c r="C62" s="138">
        <f>[11]FATF!D54</f>
        <v>1</v>
      </c>
      <c r="D62" s="138">
        <f>[11]BASEL!H55</f>
        <v>3</v>
      </c>
      <c r="E62" s="138">
        <v>1</v>
      </c>
      <c r="F62" s="138">
        <v>1</v>
      </c>
      <c r="G62" s="139">
        <f t="shared" si="1"/>
        <v>1.7</v>
      </c>
      <c r="H62" s="140" t="str">
        <f>IF(AND(G62&gt;=$C$6,G62&lt;=$D$6),$B$6,IF(AND(G62&gt;=$C$5,G62&lt;=$D$5),$B$5,IF(AND(G62&gt;=$C$4,G62&lt;=$D$4),$B$4,IF(AND(G62&gt;=#REF!,G62&lt;=#REF!),#REF!))))</f>
        <v>Medium</v>
      </c>
      <c r="I62" s="140"/>
      <c r="J62" s="141">
        <f t="shared" si="2"/>
        <v>1.7</v>
      </c>
      <c r="K62" s="140" t="str">
        <f>IF(AND(J62&gt;=$C$6,J62&lt;=$D$6),$B$6,IF(AND(J62&gt;=$C$5,J62&lt;=$D$5),$B$5,IF(AND(J62&gt;=$C$4,J62&lt;=$D$4),$B$4,IF(AND(J62&gt;=#REF!,J62&lt;=#REF!),#REF!))))</f>
        <v>Medium</v>
      </c>
    </row>
    <row r="63" spans="2:11" s="132" customFormat="1" x14ac:dyDescent="0.25">
      <c r="B63" s="137" t="s">
        <v>172</v>
      </c>
      <c r="C63" s="138">
        <f>[11]FATF!D55</f>
        <v>1</v>
      </c>
      <c r="D63" s="138">
        <f>[11]BASEL!H56</f>
        <v>1</v>
      </c>
      <c r="E63" s="138">
        <v>1</v>
      </c>
      <c r="F63" s="138">
        <v>1</v>
      </c>
      <c r="G63" s="139">
        <f t="shared" si="1"/>
        <v>1</v>
      </c>
      <c r="H63" s="140" t="str">
        <f>IF(AND(G63&gt;=$C$6,G63&lt;=$D$6),$B$6,IF(AND(G63&gt;=$C$5,G63&lt;=$D$5),$B$5,IF(AND(G63&gt;=$C$4,G63&lt;=$D$4),$B$4,IF(AND(G63&gt;=#REF!,G63&lt;=#REF!),#REF!))))</f>
        <v>Low</v>
      </c>
      <c r="I63" s="140"/>
      <c r="J63" s="141">
        <f t="shared" si="2"/>
        <v>1</v>
      </c>
      <c r="K63" s="140" t="str">
        <f>IF(AND(J63&gt;=$C$6,J63&lt;=$D$6),$B$6,IF(AND(J63&gt;=$C$5,J63&lt;=$D$5),$B$5,IF(AND(J63&gt;=$C$4,J63&lt;=$D$4),$B$4,IF(AND(J63&gt;=#REF!,J63&lt;=#REF!),#REF!))))</f>
        <v>Low</v>
      </c>
    </row>
    <row r="64" spans="2:11" s="132" customFormat="1" x14ac:dyDescent="0.25">
      <c r="B64" s="137" t="s">
        <v>173</v>
      </c>
      <c r="C64" s="138">
        <f>[11]FATF!D56</f>
        <v>1</v>
      </c>
      <c r="D64" s="138">
        <f>[11]BASEL!H57</f>
        <v>2</v>
      </c>
      <c r="E64" s="138">
        <v>1</v>
      </c>
      <c r="F64" s="138">
        <v>1</v>
      </c>
      <c r="G64" s="139">
        <f t="shared" si="1"/>
        <v>1.35</v>
      </c>
      <c r="H64" s="140" t="str">
        <f>IF(AND(G64&gt;=$C$6,G64&lt;=$D$6),$B$6,IF(AND(G64&gt;=$C$5,G64&lt;=$D$5),$B$5,IF(AND(G64&gt;=$C$4,G64&lt;=$D$4),$B$4,IF(AND(G64&gt;=#REF!,G64&lt;=#REF!),#REF!))))</f>
        <v>Medium</v>
      </c>
      <c r="I64" s="140"/>
      <c r="J64" s="141">
        <f t="shared" si="2"/>
        <v>1.35</v>
      </c>
      <c r="K64" s="140" t="str">
        <f>IF(AND(J64&gt;=$C$6,J64&lt;=$D$6),$B$6,IF(AND(J64&gt;=$C$5,J64&lt;=$D$5),$B$5,IF(AND(J64&gt;=$C$4,J64&lt;=$D$4),$B$4,IF(AND(J64&gt;=#REF!,J64&lt;=#REF!),#REF!))))</f>
        <v>Medium</v>
      </c>
    </row>
    <row r="65" spans="2:11" s="132" customFormat="1" x14ac:dyDescent="0.25">
      <c r="B65" s="137" t="s">
        <v>174</v>
      </c>
      <c r="C65" s="138">
        <f>[11]FATF!D57</f>
        <v>1</v>
      </c>
      <c r="D65" s="138">
        <f>[11]BASEL!H58</f>
        <v>2</v>
      </c>
      <c r="E65" s="138">
        <v>1</v>
      </c>
      <c r="F65" s="138">
        <v>1</v>
      </c>
      <c r="G65" s="139">
        <f t="shared" si="1"/>
        <v>1.35</v>
      </c>
      <c r="H65" s="140" t="str">
        <f>IF(AND(G65&gt;=$C$6,G65&lt;=$D$6),$B$6,IF(AND(G65&gt;=$C$5,G65&lt;=$D$5),$B$5,IF(AND(G65&gt;=$C$4,G65&lt;=$D$4),$B$4,IF(AND(G65&gt;=#REF!,G65&lt;=#REF!),#REF!))))</f>
        <v>Medium</v>
      </c>
      <c r="I65" s="140" t="s">
        <v>1393</v>
      </c>
      <c r="J65" s="141">
        <f t="shared" si="2"/>
        <v>3</v>
      </c>
      <c r="K65" s="140" t="str">
        <f>IF(AND(J65&gt;=$C$6,J65&lt;=$D$6),$B$6,IF(AND(J65&gt;=$C$5,J65&lt;=$D$5),$B$5,IF(AND(J65&gt;=$C$4,J65&lt;=$D$4),$B$4,IF(AND(J65&gt;=#REF!,J65&lt;=#REF!),#REF!))))</f>
        <v>High</v>
      </c>
    </row>
    <row r="66" spans="2:11" s="132" customFormat="1" x14ac:dyDescent="0.25">
      <c r="B66" s="137" t="s">
        <v>175</v>
      </c>
      <c r="C66" s="138">
        <f>[11]FATF!D58</f>
        <v>2</v>
      </c>
      <c r="D66" s="138">
        <f>[11]BASEL!H59</f>
        <v>2</v>
      </c>
      <c r="E66" s="138">
        <v>2</v>
      </c>
      <c r="F66" s="138">
        <v>1</v>
      </c>
      <c r="G66" s="139">
        <f t="shared" si="1"/>
        <v>1.95</v>
      </c>
      <c r="H66" s="140" t="str">
        <f>IF(AND(G66&gt;=$C$6,G66&lt;=$D$6),$B$6,IF(AND(G66&gt;=$C$5,G66&lt;=$D$5),$B$5,IF(AND(G66&gt;=$C$4,G66&lt;=$D$4),$B$4,IF(AND(G66&gt;=#REF!,G66&lt;=#REF!),#REF!))))</f>
        <v>Medium</v>
      </c>
      <c r="I66" s="140" t="s">
        <v>1393</v>
      </c>
      <c r="J66" s="141">
        <f t="shared" si="2"/>
        <v>3</v>
      </c>
      <c r="K66" s="140" t="str">
        <f>IF(AND(J66&gt;=$C$6,J66&lt;=$D$6),$B$6,IF(AND(J66&gt;=$C$5,J66&lt;=$D$5),$B$5,IF(AND(J66&gt;=$C$4,J66&lt;=$D$4),$B$4,IF(AND(J66&gt;=#REF!,J66&lt;=#REF!),#REF!))))</f>
        <v>High</v>
      </c>
    </row>
    <row r="67" spans="2:11" s="132" customFormat="1" x14ac:dyDescent="0.25">
      <c r="B67" s="137" t="s">
        <v>176</v>
      </c>
      <c r="C67" s="138">
        <f>[11]FATF!D59</f>
        <v>1</v>
      </c>
      <c r="D67" s="138">
        <f>[11]BASEL!H60</f>
        <v>2</v>
      </c>
      <c r="E67" s="138">
        <v>3</v>
      </c>
      <c r="F67" s="138">
        <v>1</v>
      </c>
      <c r="G67" s="139">
        <f t="shared" si="1"/>
        <v>1.95</v>
      </c>
      <c r="H67" s="140" t="str">
        <f>IF(AND(G67&gt;=$C$6,G67&lt;=$D$6),$B$6,IF(AND(G67&gt;=$C$5,G67&lt;=$D$5),$B$5,IF(AND(G67&gt;=$C$4,G67&lt;=$D$4),$B$4,IF(AND(G67&gt;=#REF!,G67&lt;=#REF!),#REF!))))</f>
        <v>Medium</v>
      </c>
      <c r="I67" s="161" t="s">
        <v>279</v>
      </c>
      <c r="J67" s="141">
        <f t="shared" si="2"/>
        <v>4</v>
      </c>
      <c r="K67" s="161" t="s">
        <v>279</v>
      </c>
    </row>
    <row r="68" spans="2:11" s="132" customFormat="1" x14ac:dyDescent="0.25">
      <c r="B68" s="137" t="s">
        <v>177</v>
      </c>
      <c r="C68" s="138">
        <f>[11]FATF!D60</f>
        <v>1</v>
      </c>
      <c r="D68" s="138">
        <v>0</v>
      </c>
      <c r="E68" s="138">
        <v>1</v>
      </c>
      <c r="F68" s="138">
        <v>1</v>
      </c>
      <c r="G68" s="139">
        <f t="shared" si="1"/>
        <v>0.65</v>
      </c>
      <c r="H68" s="140" t="str">
        <f>IF(AND(G68&gt;=$C$6,G68&lt;=$D$6),$B$6,IF(AND(G68&gt;=$C$5,G68&lt;=$D$5),$B$5,IF(AND(G68&gt;=$C$4,G68&lt;=$D$4),$B$4,IF(AND(G68&gt;=#REF!,G68&lt;=#REF!),#REF!))))</f>
        <v>Low</v>
      </c>
      <c r="I68" s="140"/>
      <c r="J68" s="141">
        <f t="shared" si="2"/>
        <v>0.65</v>
      </c>
      <c r="K68" s="140" t="str">
        <f>IF(AND(J68&gt;=$C$6,J68&lt;=$D$6),$B$6,IF(AND(J68&gt;=$C$5,J68&lt;=$D$5),$B$5,IF(AND(J68&gt;=$C$4,J68&lt;=$D$4),$B$4,IF(AND(J68&gt;=#REF!,J68&lt;=#REF!),#REF!))))</f>
        <v>Low</v>
      </c>
    </row>
    <row r="69" spans="2:11" s="132" customFormat="1" x14ac:dyDescent="0.25">
      <c r="B69" s="137" t="s">
        <v>4</v>
      </c>
      <c r="C69" s="138">
        <f>[11]FATF!D61</f>
        <v>1</v>
      </c>
      <c r="D69" s="138">
        <f>[11]BASEL!H62</f>
        <v>2</v>
      </c>
      <c r="E69" s="138">
        <v>1</v>
      </c>
      <c r="F69" s="138">
        <v>1</v>
      </c>
      <c r="G69" s="139">
        <f t="shared" si="1"/>
        <v>1.35</v>
      </c>
      <c r="H69" s="140" t="str">
        <f>IF(AND(G69&gt;=$C$6,G69&lt;=$D$6),$B$6,IF(AND(G69&gt;=$C$5,G69&lt;=$D$5),$B$5,IF(AND(G69&gt;=$C$4,G69&lt;=$D$4),$B$4,IF(AND(G69&gt;=#REF!,G69&lt;=#REF!),#REF!))))</f>
        <v>Medium</v>
      </c>
      <c r="I69" s="140"/>
      <c r="J69" s="141">
        <f t="shared" si="2"/>
        <v>1.35</v>
      </c>
      <c r="K69" s="140" t="str">
        <f>IF(AND(J69&gt;=$C$6,J69&lt;=$D$6),$B$6,IF(AND(J69&gt;=$C$5,J69&lt;=$D$5),$B$5,IF(AND(J69&gt;=$C$4,J69&lt;=$D$4),$B$4,IF(AND(J69&gt;=#REF!,J69&lt;=#REF!),#REF!))))</f>
        <v>Medium</v>
      </c>
    </row>
    <row r="70" spans="2:11" s="132" customFormat="1" x14ac:dyDescent="0.25">
      <c r="B70" s="137" t="s">
        <v>178</v>
      </c>
      <c r="C70" s="138">
        <f>[11]FATF!D62</f>
        <v>1</v>
      </c>
      <c r="D70" s="138">
        <f>[11]BASEL!H63</f>
        <v>1</v>
      </c>
      <c r="E70" s="138">
        <v>1</v>
      </c>
      <c r="F70" s="138">
        <v>1</v>
      </c>
      <c r="G70" s="139">
        <f t="shared" si="1"/>
        <v>1</v>
      </c>
      <c r="H70" s="140" t="str">
        <f>IF(AND(G70&gt;=$C$6,G70&lt;=$D$6),$B$6,IF(AND(G70&gt;=$C$5,G70&lt;=$D$5),$B$5,IF(AND(G70&gt;=$C$4,G70&lt;=$D$4),$B$4,IF(AND(G70&gt;=#REF!,G70&lt;=#REF!),#REF!))))</f>
        <v>Low</v>
      </c>
      <c r="I70" s="140"/>
      <c r="J70" s="141">
        <f t="shared" si="2"/>
        <v>1</v>
      </c>
      <c r="K70" s="140" t="str">
        <f>IF(AND(J70&gt;=$C$6,J70&lt;=$D$6),$B$6,IF(AND(J70&gt;=$C$5,J70&lt;=$D$5),$B$5,IF(AND(J70&gt;=$C$4,J70&lt;=$D$4),$B$4,IF(AND(J70&gt;=#REF!,J70&lt;=#REF!),#REF!))))</f>
        <v>Low</v>
      </c>
    </row>
    <row r="71" spans="2:11" s="132" customFormat="1" x14ac:dyDescent="0.25">
      <c r="B71" s="137" t="s">
        <v>179</v>
      </c>
      <c r="C71" s="138">
        <f>[11]FATF!D63</f>
        <v>2</v>
      </c>
      <c r="D71" s="138">
        <f>[11]BASEL!H64</f>
        <v>3</v>
      </c>
      <c r="E71" s="138">
        <v>2</v>
      </c>
      <c r="F71" s="138">
        <v>1</v>
      </c>
      <c r="G71" s="139">
        <f t="shared" si="1"/>
        <v>2.2999999999999998</v>
      </c>
      <c r="H71" s="140" t="str">
        <f>IF(AND(G71&gt;=$C$6,G71&lt;=$D$6),$B$6,IF(AND(G71&gt;=$C$5,G71&lt;=$D$5),$B$5,IF(AND(G71&gt;=$C$4,G71&lt;=$D$4),$B$4,IF(AND(G71&gt;=#REF!,G71&lt;=#REF!),#REF!))))</f>
        <v>High</v>
      </c>
      <c r="I71" s="140" t="s">
        <v>1393</v>
      </c>
      <c r="J71" s="141">
        <f t="shared" si="2"/>
        <v>3</v>
      </c>
      <c r="K71" s="140" t="str">
        <f>IF(AND(J71&gt;=$C$6,J71&lt;=$D$6),$B$6,IF(AND(J71&gt;=$C$5,J71&lt;=$D$5),$B$5,IF(AND(J71&gt;=$C$4,J71&lt;=$D$4),$B$4,IF(AND(J71&gt;=#REF!,J71&lt;=#REF!),#REF!))))</f>
        <v>High</v>
      </c>
    </row>
    <row r="72" spans="2:11" s="132" customFormat="1" x14ac:dyDescent="0.25">
      <c r="B72" s="137" t="s">
        <v>6</v>
      </c>
      <c r="C72" s="138">
        <f>[11]FATF!D64</f>
        <v>1</v>
      </c>
      <c r="D72" s="138">
        <f>[11]BASEL!H65</f>
        <v>1</v>
      </c>
      <c r="E72" s="138">
        <v>1</v>
      </c>
      <c r="F72" s="138">
        <v>1</v>
      </c>
      <c r="G72" s="139">
        <f t="shared" si="1"/>
        <v>1</v>
      </c>
      <c r="H72" s="140" t="str">
        <f>IF(AND(G72&gt;=$C$6,G72&lt;=$D$6),$B$6,IF(AND(G72&gt;=$C$5,G72&lt;=$D$5),$B$5,IF(AND(G72&gt;=$C$4,G72&lt;=$D$4),$B$4,IF(AND(G72&gt;=#REF!,G72&lt;=#REF!),#REF!))))</f>
        <v>Low</v>
      </c>
      <c r="I72" s="140"/>
      <c r="J72" s="141">
        <f t="shared" si="2"/>
        <v>1</v>
      </c>
      <c r="K72" s="140" t="str">
        <f>IF(AND(J72&gt;=$C$6,J72&lt;=$D$6),$B$6,IF(AND(J72&gt;=$C$5,J72&lt;=$D$5),$B$5,IF(AND(J72&gt;=$C$4,J72&lt;=$D$4),$B$4,IF(AND(J72&gt;=#REF!,J72&lt;=#REF!),#REF!))))</f>
        <v>Low</v>
      </c>
    </row>
    <row r="73" spans="2:11" s="132" customFormat="1" x14ac:dyDescent="0.25">
      <c r="B73" s="137" t="s">
        <v>180</v>
      </c>
      <c r="C73" s="138">
        <f>[11]FATF!D65</f>
        <v>1</v>
      </c>
      <c r="D73" s="138">
        <f>[11]BASEL!H66</f>
        <v>2</v>
      </c>
      <c r="E73" s="138">
        <v>1</v>
      </c>
      <c r="F73" s="138">
        <v>1</v>
      </c>
      <c r="G73" s="139">
        <f t="shared" si="1"/>
        <v>1.35</v>
      </c>
      <c r="H73" s="140" t="str">
        <f>IF(AND(G73&gt;=$C$6,G73&lt;=$D$6),$B$6,IF(AND(G73&gt;=$C$5,G73&lt;=$D$5),$B$5,IF(AND(G73&gt;=$C$4,G73&lt;=$D$4),$B$4,IF(AND(G73&gt;=#REF!,G73&lt;=#REF!),#REF!))))</f>
        <v>Medium</v>
      </c>
      <c r="I73" s="140"/>
      <c r="J73" s="141">
        <f t="shared" si="2"/>
        <v>1.35</v>
      </c>
      <c r="K73" s="140" t="str">
        <f>IF(AND(J73&gt;=$C$6,J73&lt;=$D$6),$B$6,IF(AND(J73&gt;=$C$5,J73&lt;=$D$5),$B$5,IF(AND(J73&gt;=$C$4,J73&lt;=$D$4),$B$4,IF(AND(J73&gt;=#REF!,J73&lt;=#REF!),#REF!))))</f>
        <v>Medium</v>
      </c>
    </row>
    <row r="74" spans="2:11" x14ac:dyDescent="0.25">
      <c r="B74" s="137" t="s">
        <v>181</v>
      </c>
      <c r="C74" s="138">
        <f>[11]FATF!D66</f>
        <v>1</v>
      </c>
      <c r="D74" s="138">
        <f>[11]BASEL!H67</f>
        <v>2</v>
      </c>
      <c r="E74" s="138">
        <v>1</v>
      </c>
      <c r="F74" s="138">
        <v>1</v>
      </c>
      <c r="G74" s="139">
        <f t="shared" si="1"/>
        <v>1.35</v>
      </c>
      <c r="H74" s="140" t="str">
        <f>IF(AND(G74&gt;=$C$6,G74&lt;=$D$6),$B$6,IF(AND(G74&gt;=$C$5,G74&lt;=$D$5),$B$5,IF(AND(G74&gt;=$C$4,G74&lt;=$D$4),$B$4,IF(AND(G74&gt;=#REF!,G74&lt;=#REF!),#REF!))))</f>
        <v>Medium</v>
      </c>
      <c r="I74" s="140"/>
      <c r="J74" s="141">
        <f t="shared" si="2"/>
        <v>1.35</v>
      </c>
      <c r="K74" s="140" t="str">
        <f>IF(AND(J74&gt;=$C$6,J74&lt;=$D$6),$B$6,IF(AND(J74&gt;=$C$5,J74&lt;=$D$5),$B$5,IF(AND(J74&gt;=$C$4,J74&lt;=$D$4),$B$4,IF(AND(J74&gt;=#REF!,J74&lt;=#REF!),#REF!))))</f>
        <v>Medium</v>
      </c>
    </row>
    <row r="75" spans="2:11" s="132" customFormat="1" x14ac:dyDescent="0.25">
      <c r="B75" s="137" t="s">
        <v>7</v>
      </c>
      <c r="C75" s="138">
        <f>[11]FATF!D67</f>
        <v>1</v>
      </c>
      <c r="D75" s="138">
        <f>[11]BASEL!H68</f>
        <v>2</v>
      </c>
      <c r="E75" s="138">
        <v>1</v>
      </c>
      <c r="F75" s="138">
        <v>1</v>
      </c>
      <c r="G75" s="139">
        <f t="shared" si="1"/>
        <v>1.35</v>
      </c>
      <c r="H75" s="140" t="str">
        <f>IF(AND(G75&gt;=$C$6,G75&lt;=$D$6),$B$6,IF(AND(G75&gt;=$C$5,G75&lt;=$D$5),$B$5,IF(AND(G75&gt;=$C$4,G75&lt;=$D$4),$B$4,IF(AND(G75&gt;=#REF!,G75&lt;=#REF!),#REF!))))</f>
        <v>Medium</v>
      </c>
      <c r="I75" s="140"/>
      <c r="J75" s="141">
        <f t="shared" si="2"/>
        <v>1.35</v>
      </c>
      <c r="K75" s="140" t="str">
        <f>IF(AND(J75&gt;=$C$6,J75&lt;=$D$6),$B$6,IF(AND(J75&gt;=$C$5,J75&lt;=$D$5),$B$5,IF(AND(J75&gt;=$C$4,J75&lt;=$D$4),$B$4,IF(AND(J75&gt;=#REF!,J75&lt;=#REF!),#REF!))))</f>
        <v>Medium</v>
      </c>
    </row>
    <row r="76" spans="2:11" s="132" customFormat="1" x14ac:dyDescent="0.25">
      <c r="B76" s="137" t="s">
        <v>8</v>
      </c>
      <c r="C76" s="138">
        <f>[11]FATF!D68</f>
        <v>1</v>
      </c>
      <c r="D76" s="138">
        <f>[11]BASEL!H69</f>
        <v>2</v>
      </c>
      <c r="E76" s="138">
        <v>1</v>
      </c>
      <c r="F76" s="138">
        <v>1</v>
      </c>
      <c r="G76" s="139">
        <f t="shared" ref="G76:G139" si="4">C76*$C$9+D76*$D$9+E76*$E$9+F76*$F$9</f>
        <v>1.35</v>
      </c>
      <c r="H76" s="140" t="str">
        <f>IF(AND(G76&gt;=$C$6,G76&lt;=$D$6),$B$6,IF(AND(G76&gt;=$C$5,G76&lt;=$D$5),$B$5,IF(AND(G76&gt;=$C$4,G76&lt;=$D$4),$B$4,IF(AND(G76&gt;=#REF!,G76&lt;=#REF!),#REF!))))</f>
        <v>Medium</v>
      </c>
      <c r="I76" s="140"/>
      <c r="J76" s="141">
        <f t="shared" ref="J76:J139" si="5">IF(OR(I76="Prohibited", I76="FATF Grey List"), IF(I76="Prohibited", 4, 3), G76)</f>
        <v>1.35</v>
      </c>
      <c r="K76" s="140" t="str">
        <f>IF(AND(J76&gt;=$C$6,J76&lt;=$D$6),$B$6,IF(AND(J76&gt;=$C$5,J76&lt;=$D$5),$B$5,IF(AND(J76&gt;=$C$4,J76&lt;=$D$4),$B$4,IF(AND(J76&gt;=#REF!,J76&lt;=#REF!),#REF!))))</f>
        <v>Medium</v>
      </c>
    </row>
    <row r="77" spans="2:11" s="132" customFormat="1" x14ac:dyDescent="0.25">
      <c r="B77" s="137" t="s">
        <v>9</v>
      </c>
      <c r="C77" s="138">
        <f>[11]FATF!D69</f>
        <v>1</v>
      </c>
      <c r="D77" s="138">
        <f>[11]BASEL!H70</f>
        <v>2</v>
      </c>
      <c r="E77" s="138">
        <v>2</v>
      </c>
      <c r="F77" s="138">
        <v>3</v>
      </c>
      <c r="G77" s="139">
        <f t="shared" si="4"/>
        <v>1.75</v>
      </c>
      <c r="H77" s="140" t="str">
        <f>IF(AND(G77&gt;=$C$6,G77&lt;=$D$6),$B$6,IF(AND(G77&gt;=$C$5,G77&lt;=$D$5),$B$5,IF(AND(G77&gt;=$C$4,G77&lt;=$D$4),$B$4,IF(AND(G77&gt;=#REF!,G77&lt;=#REF!),#REF!))))</f>
        <v>Medium</v>
      </c>
      <c r="I77" s="140"/>
      <c r="J77" s="141">
        <f t="shared" si="5"/>
        <v>1.75</v>
      </c>
      <c r="K77" s="140" t="str">
        <f>IF(AND(J77&gt;=$C$6,J77&lt;=$D$6),$B$6,IF(AND(J77&gt;=$C$5,J77&lt;=$D$5),$B$5,IF(AND(J77&gt;=$C$4,J77&lt;=$D$4),$B$4,IF(AND(J77&gt;=#REF!,J77&lt;=#REF!),#REF!))))</f>
        <v>Medium</v>
      </c>
    </row>
    <row r="78" spans="2:11" s="132" customFormat="1" x14ac:dyDescent="0.25">
      <c r="B78" s="137" t="s">
        <v>182</v>
      </c>
      <c r="C78" s="138">
        <f>[11]FATF!D70</f>
        <v>1</v>
      </c>
      <c r="D78" s="138">
        <f>[11]BASEL!H71</f>
        <v>2</v>
      </c>
      <c r="E78" s="138">
        <v>1</v>
      </c>
      <c r="F78" s="138">
        <v>1</v>
      </c>
      <c r="G78" s="139">
        <f t="shared" si="4"/>
        <v>1.35</v>
      </c>
      <c r="H78" s="140" t="str">
        <f>IF(AND(G78&gt;=$C$6,G78&lt;=$D$6),$B$6,IF(AND(G78&gt;=$C$5,G78&lt;=$D$5),$B$5,IF(AND(G78&gt;=$C$4,G78&lt;=$D$4),$B$4,IF(AND(G78&gt;=#REF!,G78&lt;=#REF!),#REF!))))</f>
        <v>Medium</v>
      </c>
      <c r="I78" s="140"/>
      <c r="J78" s="141">
        <f t="shared" si="5"/>
        <v>1.35</v>
      </c>
      <c r="K78" s="140" t="str">
        <f>IF(AND(J78&gt;=$C$6,J78&lt;=$D$6),$B$6,IF(AND(J78&gt;=$C$5,J78&lt;=$D$5),$B$5,IF(AND(J78&gt;=$C$4,J78&lt;=$D$4),$B$4,IF(AND(J78&gt;=#REF!,J78&lt;=#REF!),#REF!))))</f>
        <v>Medium</v>
      </c>
    </row>
    <row r="79" spans="2:11" s="132" customFormat="1" x14ac:dyDescent="0.25">
      <c r="B79" s="137" t="s">
        <v>183</v>
      </c>
      <c r="C79" s="138">
        <f>[11]FATF!D71</f>
        <v>1</v>
      </c>
      <c r="D79" s="138">
        <f>[11]BASEL!H72</f>
        <v>3</v>
      </c>
      <c r="E79" s="138">
        <v>1</v>
      </c>
      <c r="F79" s="138">
        <v>1</v>
      </c>
      <c r="G79" s="139">
        <f t="shared" si="4"/>
        <v>1.7</v>
      </c>
      <c r="H79" s="140" t="str">
        <f>IF(AND(G79&gt;=$C$6,G79&lt;=$D$6),$B$6,IF(AND(G79&gt;=$C$5,G79&lt;=$D$5),$B$5,IF(AND(G79&gt;=$C$4,G79&lt;=$D$4),$B$4,IF(AND(G79&gt;=#REF!,G79&lt;=#REF!),#REF!))))</f>
        <v>Medium</v>
      </c>
      <c r="I79" s="140"/>
      <c r="J79" s="141">
        <f t="shared" si="5"/>
        <v>1.7</v>
      </c>
      <c r="K79" s="140" t="str">
        <f>IF(AND(J79&gt;=$C$6,J79&lt;=$D$6),$B$6,IF(AND(J79&gt;=$C$5,J79&lt;=$D$5),$B$5,IF(AND(J79&gt;=$C$4,J79&lt;=$D$4),$B$4,IF(AND(J79&gt;=#REF!,J79&lt;=#REF!),#REF!))))</f>
        <v>Medium</v>
      </c>
    </row>
    <row r="80" spans="2:11" s="132" customFormat="1" x14ac:dyDescent="0.25">
      <c r="B80" s="137" t="s">
        <v>10</v>
      </c>
      <c r="C80" s="138">
        <f>[11]FATF!D72</f>
        <v>1</v>
      </c>
      <c r="D80" s="138">
        <f>[11]BASEL!H73</f>
        <v>2</v>
      </c>
      <c r="E80" s="138">
        <v>1</v>
      </c>
      <c r="F80" s="138">
        <v>1</v>
      </c>
      <c r="G80" s="139">
        <f t="shared" si="4"/>
        <v>1.35</v>
      </c>
      <c r="H80" s="140" t="str">
        <f>IF(AND(G80&gt;=$C$6,G80&lt;=$D$6),$B$6,IF(AND(G80&gt;=$C$5,G80&lt;=$D$5),$B$5,IF(AND(G80&gt;=$C$4,G80&lt;=$D$4),$B$4,IF(AND(G80&gt;=#REF!,G80&lt;=#REF!),#REF!))))</f>
        <v>Medium</v>
      </c>
      <c r="I80" s="140"/>
      <c r="J80" s="141">
        <f t="shared" si="5"/>
        <v>1.35</v>
      </c>
      <c r="K80" s="140" t="str">
        <f>IF(AND(J80&gt;=$C$6,J80&lt;=$D$6),$B$6,IF(AND(J80&gt;=$C$5,J80&lt;=$D$5),$B$5,IF(AND(J80&gt;=$C$4,J80&lt;=$D$4),$B$4,IF(AND(J80&gt;=#REF!,J80&lt;=#REF!),#REF!))))</f>
        <v>Medium</v>
      </c>
    </row>
    <row r="81" spans="2:11" s="132" customFormat="1" x14ac:dyDescent="0.25">
      <c r="B81" s="137" t="s">
        <v>184</v>
      </c>
      <c r="C81" s="138">
        <f>[11]FATF!D73</f>
        <v>1</v>
      </c>
      <c r="D81" s="138">
        <f>[11]BASEL!H74</f>
        <v>1</v>
      </c>
      <c r="E81" s="138">
        <v>1</v>
      </c>
      <c r="F81" s="138">
        <v>1</v>
      </c>
      <c r="G81" s="139">
        <f t="shared" si="4"/>
        <v>1</v>
      </c>
      <c r="H81" s="140" t="str">
        <f>IF(AND(G81&gt;=$C$6,G81&lt;=$D$6),$B$6,IF(AND(G81&gt;=$C$5,G81&lt;=$D$5),$B$5,IF(AND(G81&gt;=$C$4,G81&lt;=$D$4),$B$4,IF(AND(G81&gt;=#REF!,G81&lt;=#REF!),#REF!))))</f>
        <v>Low</v>
      </c>
      <c r="I81" s="140"/>
      <c r="J81" s="141">
        <f t="shared" si="5"/>
        <v>1</v>
      </c>
      <c r="K81" s="140" t="str">
        <f>IF(AND(J81&gt;=$C$6,J81&lt;=$D$6),$B$6,IF(AND(J81&gt;=$C$5,J81&lt;=$D$5),$B$5,IF(AND(J81&gt;=$C$4,J81&lt;=$D$4),$B$4,IF(AND(J81&gt;=#REF!,J81&lt;=#REF!),#REF!))))</f>
        <v>Low</v>
      </c>
    </row>
    <row r="82" spans="2:11" s="132" customFormat="1" x14ac:dyDescent="0.25">
      <c r="B82" s="137" t="s">
        <v>11</v>
      </c>
      <c r="C82" s="138">
        <f>[11]FATF!D74</f>
        <v>1</v>
      </c>
      <c r="D82" s="138">
        <f>[11]BASEL!H75</f>
        <v>2</v>
      </c>
      <c r="E82" s="138">
        <v>1</v>
      </c>
      <c r="F82" s="138">
        <v>1</v>
      </c>
      <c r="G82" s="139">
        <f t="shared" si="4"/>
        <v>1.35</v>
      </c>
      <c r="H82" s="140" t="str">
        <f>IF(AND(G82&gt;=$C$6,G82&lt;=$D$6),$B$6,IF(AND(G82&gt;=$C$5,G82&lt;=$D$5),$B$5,IF(AND(G82&gt;=$C$4,G82&lt;=$D$4),$B$4,IF(AND(G82&gt;=#REF!,G82&lt;=#REF!),#REF!))))</f>
        <v>Medium</v>
      </c>
      <c r="I82" s="140"/>
      <c r="J82" s="141">
        <f t="shared" si="5"/>
        <v>1.35</v>
      </c>
      <c r="K82" s="140" t="str">
        <f>IF(AND(J82&gt;=$C$6,J82&lt;=$D$6),$B$6,IF(AND(J82&gt;=$C$5,J82&lt;=$D$5),$B$5,IF(AND(J82&gt;=$C$4,J82&lt;=$D$4),$B$4,IF(AND(J82&gt;=#REF!,J82&lt;=#REF!),#REF!))))</f>
        <v>Medium</v>
      </c>
    </row>
    <row r="83" spans="2:11" s="132" customFormat="1" x14ac:dyDescent="0.25">
      <c r="B83" s="162" t="s">
        <v>1355</v>
      </c>
      <c r="C83" s="142">
        <v>1</v>
      </c>
      <c r="D83" s="142">
        <v>1</v>
      </c>
      <c r="E83" s="163">
        <v>1</v>
      </c>
      <c r="F83" s="163">
        <v>1</v>
      </c>
      <c r="G83" s="139">
        <f t="shared" si="4"/>
        <v>1</v>
      </c>
      <c r="H83" s="140" t="str">
        <f>IF(AND(G83&gt;=$C$6,G83&lt;=$D$6),$B$6,IF(AND(G83&gt;=$C$5,G83&lt;=$D$5),$B$5,IF(AND(G83&gt;=$C$4,G83&lt;=$D$4),$B$4,IF(AND(G83&gt;=#REF!,G83&lt;=#REF!),#REF!))))</f>
        <v>Low</v>
      </c>
      <c r="I83" s="140"/>
      <c r="J83" s="141">
        <f t="shared" si="5"/>
        <v>1</v>
      </c>
      <c r="K83" s="140" t="str">
        <f>IF(AND(J83&gt;=$C$6,J83&lt;=$D$6),$B$6,IF(AND(J83&gt;=$C$5,J83&lt;=$D$5),$B$5,IF(AND(J83&gt;=$C$4,J83&lt;=$D$4),$B$4,IF(AND(J83&gt;=#REF!,J83&lt;=#REF!),#REF!))))</f>
        <v>Low</v>
      </c>
    </row>
    <row r="84" spans="2:11" s="132" customFormat="1" x14ac:dyDescent="0.25">
      <c r="B84" s="137" t="s">
        <v>1356</v>
      </c>
      <c r="C84" s="138">
        <f>[11]FATF!D76</f>
        <v>1</v>
      </c>
      <c r="D84" s="142">
        <v>1</v>
      </c>
      <c r="E84" s="138">
        <v>1</v>
      </c>
      <c r="F84" s="138">
        <v>1</v>
      </c>
      <c r="G84" s="139">
        <f t="shared" si="4"/>
        <v>1</v>
      </c>
      <c r="H84" s="140" t="str">
        <f>IF(AND(G84&gt;=$C$6,G84&lt;=$D$6),$B$6,IF(AND(G84&gt;=$C$5,G84&lt;=$D$5),$B$5,IF(AND(G84&gt;=$C$4,G84&lt;=$D$4),$B$4,IF(AND(G84&gt;=#REF!,G84&lt;=#REF!),#REF!))))</f>
        <v>Low</v>
      </c>
      <c r="I84" s="140"/>
      <c r="J84" s="141">
        <f t="shared" si="5"/>
        <v>1</v>
      </c>
      <c r="K84" s="140" t="str">
        <f>IF(AND(J84&gt;=$C$6,J84&lt;=$D$6),$B$6,IF(AND(J84&gt;=$C$5,J84&lt;=$D$5),$B$5,IF(AND(J84&gt;=$C$4,J84&lt;=$D$4),$B$4,IF(AND(J84&gt;=#REF!,J84&lt;=#REF!),#REF!))))</f>
        <v>Low</v>
      </c>
    </row>
    <row r="85" spans="2:11" s="132" customFormat="1" x14ac:dyDescent="0.25">
      <c r="B85" s="137" t="s">
        <v>285</v>
      </c>
      <c r="C85" s="138">
        <f>[11]FATF!D77</f>
        <v>1</v>
      </c>
      <c r="D85" s="138">
        <f>[11]BASEL!H78</f>
        <v>2</v>
      </c>
      <c r="E85" s="138">
        <v>1</v>
      </c>
      <c r="F85" s="138">
        <v>1</v>
      </c>
      <c r="G85" s="139">
        <f t="shared" si="4"/>
        <v>1.35</v>
      </c>
      <c r="H85" s="140" t="str">
        <f>IF(AND(G85&gt;=$C$6,G85&lt;=$D$6),$B$6,IF(AND(G85&gt;=$C$5,G85&lt;=$D$5),$B$5,IF(AND(G85&gt;=$C$4,G85&lt;=$D$4),$B$4,IF(AND(G85&gt;=#REF!,G85&lt;=#REF!),#REF!))))</f>
        <v>Medium</v>
      </c>
      <c r="I85" s="140"/>
      <c r="J85" s="141">
        <f t="shared" si="5"/>
        <v>1.35</v>
      </c>
      <c r="K85" s="140" t="str">
        <f>IF(AND(J85&gt;=$C$6,J85&lt;=$D$6),$B$6,IF(AND(J85&gt;=$C$5,J85&lt;=$D$5),$B$5,IF(AND(J85&gt;=$C$4,J85&lt;=$D$4),$B$4,IF(AND(J85&gt;=#REF!,J85&lt;=#REF!),#REF!))))</f>
        <v>Medium</v>
      </c>
    </row>
    <row r="86" spans="2:11" s="132" customFormat="1" x14ac:dyDescent="0.25">
      <c r="B86" s="164" t="s">
        <v>12</v>
      </c>
      <c r="C86" s="138">
        <f>[11]FATF!D78</f>
        <v>1</v>
      </c>
      <c r="D86" s="138">
        <f>[11]BASEL!H79</f>
        <v>1</v>
      </c>
      <c r="E86" s="138">
        <v>1</v>
      </c>
      <c r="F86" s="138">
        <v>1</v>
      </c>
      <c r="G86" s="139">
        <f t="shared" si="4"/>
        <v>1</v>
      </c>
      <c r="H86" s="140" t="str">
        <f>IF(AND(G86&gt;=$C$6,G86&lt;=$D$6),$B$6,IF(AND(G86&gt;=$C$5,G86&lt;=$D$5),$B$5,IF(AND(G86&gt;=$C$4,G86&lt;=$D$4),$B$4,IF(AND(G86&gt;=#REF!,G86&lt;=#REF!),#REF!))))</f>
        <v>Low</v>
      </c>
      <c r="I86" s="140"/>
      <c r="J86" s="141">
        <f t="shared" si="5"/>
        <v>1</v>
      </c>
      <c r="K86" s="140" t="str">
        <f>IF(AND(J86&gt;=$C$6,J86&lt;=$D$6),$B$6,IF(AND(J86&gt;=$C$5,J86&lt;=$D$5),$B$5,IF(AND(J86&gt;=$C$4,J86&lt;=$D$4),$B$4,IF(AND(J86&gt;=#REF!,J86&lt;=#REF!),#REF!))))</f>
        <v>Low</v>
      </c>
    </row>
    <row r="87" spans="2:11" s="132" customFormat="1" x14ac:dyDescent="0.25">
      <c r="B87" s="137" t="s">
        <v>13</v>
      </c>
      <c r="C87" s="138">
        <f>[11]FATF!D79</f>
        <v>1</v>
      </c>
      <c r="D87" s="138">
        <f>[11]BASEL!H80</f>
        <v>1</v>
      </c>
      <c r="E87" s="138">
        <v>1</v>
      </c>
      <c r="F87" s="138">
        <v>1</v>
      </c>
      <c r="G87" s="139">
        <f t="shared" si="4"/>
        <v>1</v>
      </c>
      <c r="H87" s="140" t="str">
        <f>IF(AND(G87&gt;=$C$6,G87&lt;=$D$6),$B$6,IF(AND(G87&gt;=$C$5,G87&lt;=$D$5),$B$5,IF(AND(G87&gt;=$C$4,G87&lt;=$D$4),$B$4,IF(AND(G87&gt;=#REF!,G87&lt;=#REF!),#REF!))))</f>
        <v>Low</v>
      </c>
      <c r="I87" s="140"/>
      <c r="J87" s="141">
        <f t="shared" si="5"/>
        <v>1</v>
      </c>
      <c r="K87" s="140" t="str">
        <f>IF(AND(J87&gt;=$C$6,J87&lt;=$D$6),$B$6,IF(AND(J87&gt;=$C$5,J87&lt;=$D$5),$B$5,IF(AND(J87&gt;=$C$4,J87&lt;=$D$4),$B$4,IF(AND(J87&gt;=#REF!,J87&lt;=#REF!),#REF!))))</f>
        <v>Low</v>
      </c>
    </row>
    <row r="88" spans="2:11" s="132" customFormat="1" x14ac:dyDescent="0.25">
      <c r="B88" s="137" t="s">
        <v>1357</v>
      </c>
      <c r="C88" s="142">
        <v>1</v>
      </c>
      <c r="D88" s="142">
        <v>1</v>
      </c>
      <c r="E88" s="138">
        <v>1</v>
      </c>
      <c r="F88" s="138">
        <v>1</v>
      </c>
      <c r="G88" s="139">
        <f t="shared" si="4"/>
        <v>1</v>
      </c>
      <c r="H88" s="140" t="str">
        <f>IF(AND(G88&gt;=$C$6,G88&lt;=$D$6),$B$6,IF(AND(G88&gt;=$C$5,G88&lt;=$D$5),$B$5,IF(AND(G88&gt;=$C$4,G88&lt;=$D$4),$B$4,IF(AND(G88&gt;=#REF!,G88&lt;=#REF!),#REF!))))</f>
        <v>Low</v>
      </c>
      <c r="I88" s="140"/>
      <c r="J88" s="141">
        <f t="shared" si="5"/>
        <v>1</v>
      </c>
      <c r="K88" s="140" t="str">
        <f>IF(AND(J88&gt;=$C$6,J88&lt;=$D$6),$B$6,IF(AND(J88&gt;=$C$5,J88&lt;=$D$5),$B$5,IF(AND(J88&gt;=$C$4,J88&lt;=$D$4),$B$4,IF(AND(J88&gt;=#REF!,J88&lt;=#REF!),#REF!))))</f>
        <v>Low</v>
      </c>
    </row>
    <row r="89" spans="2:11" s="132" customFormat="1" x14ac:dyDescent="0.25">
      <c r="B89" s="137" t="s">
        <v>1358</v>
      </c>
      <c r="C89" s="142">
        <v>1</v>
      </c>
      <c r="D89" s="142">
        <v>1</v>
      </c>
      <c r="E89" s="138">
        <v>1</v>
      </c>
      <c r="F89" s="138">
        <v>1</v>
      </c>
      <c r="G89" s="139">
        <f t="shared" si="4"/>
        <v>1</v>
      </c>
      <c r="H89" s="140" t="str">
        <f>IF(AND(G89&gt;=$C$6,G89&lt;=$D$6),$B$6,IF(AND(G89&gt;=$C$5,G89&lt;=$D$5),$B$5,IF(AND(G89&gt;=$C$4,G89&lt;=$D$4),$B$4,IF(AND(G89&gt;=#REF!,G89&lt;=#REF!),#REF!))))</f>
        <v>Low</v>
      </c>
      <c r="I89" s="140"/>
      <c r="J89" s="141">
        <f t="shared" si="5"/>
        <v>1</v>
      </c>
      <c r="K89" s="140" t="str">
        <f>IF(AND(J89&gt;=$C$6,J89&lt;=$D$6),$B$6,IF(AND(J89&gt;=$C$5,J89&lt;=$D$5),$B$5,IF(AND(J89&gt;=$C$4,J89&lt;=$D$4),$B$4,IF(AND(J89&gt;=#REF!,J89&lt;=#REF!),#REF!))))</f>
        <v>Low</v>
      </c>
    </row>
    <row r="90" spans="2:11" s="132" customFormat="1" x14ac:dyDescent="0.25">
      <c r="B90" s="137" t="s">
        <v>1359</v>
      </c>
      <c r="C90" s="142">
        <v>1</v>
      </c>
      <c r="D90" s="142">
        <v>1</v>
      </c>
      <c r="E90" s="138">
        <v>1</v>
      </c>
      <c r="F90" s="138">
        <v>1</v>
      </c>
      <c r="G90" s="139">
        <f t="shared" si="4"/>
        <v>1</v>
      </c>
      <c r="H90" s="140" t="str">
        <f>IF(AND(G90&gt;=$C$6,G90&lt;=$D$6),$B$6,IF(AND(G90&gt;=$C$5,G90&lt;=$D$5),$B$5,IF(AND(G90&gt;=$C$4,G90&lt;=$D$4),$B$4,IF(AND(G90&gt;=#REF!,G90&lt;=#REF!),#REF!))))</f>
        <v>Low</v>
      </c>
      <c r="I90" s="140"/>
      <c r="J90" s="141">
        <f t="shared" si="5"/>
        <v>1</v>
      </c>
      <c r="K90" s="140" t="str">
        <f>IF(AND(J90&gt;=$C$6,J90&lt;=$D$6),$B$6,IF(AND(J90&gt;=$C$5,J90&lt;=$D$5),$B$5,IF(AND(J90&gt;=$C$4,J90&lt;=$D$4),$B$4,IF(AND(J90&gt;=#REF!,J90&lt;=#REF!),#REF!))))</f>
        <v>Low</v>
      </c>
    </row>
    <row r="91" spans="2:11" s="132" customFormat="1" x14ac:dyDescent="0.25">
      <c r="B91" s="137" t="s">
        <v>14</v>
      </c>
      <c r="C91" s="138">
        <f>[11]FATF!D83</f>
        <v>1</v>
      </c>
      <c r="D91" s="138">
        <f>[11]BASEL!H84</f>
        <v>3</v>
      </c>
      <c r="E91" s="138">
        <v>1</v>
      </c>
      <c r="F91" s="138">
        <v>1</v>
      </c>
      <c r="G91" s="139">
        <f t="shared" si="4"/>
        <v>1.7</v>
      </c>
      <c r="H91" s="140" t="str">
        <f>IF(AND(G91&gt;=$C$6,G91&lt;=$D$6),$B$6,IF(AND(G91&gt;=$C$5,G91&lt;=$D$5),$B$5,IF(AND(G91&gt;=$C$4,G91&lt;=$D$4),$B$4,IF(AND(G91&gt;=#REF!,G91&lt;=#REF!),#REF!))))</f>
        <v>Medium</v>
      </c>
      <c r="I91" s="140"/>
      <c r="J91" s="141">
        <f t="shared" si="5"/>
        <v>1.7</v>
      </c>
      <c r="K91" s="140" t="str">
        <f>IF(AND(J91&gt;=$C$6,J91&lt;=$D$6),$B$6,IF(AND(J91&gt;=$C$5,J91&lt;=$D$5),$B$5,IF(AND(J91&gt;=$C$4,J91&lt;=$D$4),$B$4,IF(AND(J91&gt;=#REF!,J91&lt;=#REF!),#REF!))))</f>
        <v>Medium</v>
      </c>
    </row>
    <row r="92" spans="2:11" s="132" customFormat="1" x14ac:dyDescent="0.25">
      <c r="B92" s="137" t="s">
        <v>15</v>
      </c>
      <c r="C92" s="138">
        <f>[11]FATF!D84</f>
        <v>1</v>
      </c>
      <c r="D92" s="138">
        <f>[11]BASEL!H85</f>
        <v>2</v>
      </c>
      <c r="E92" s="138">
        <v>1</v>
      </c>
      <c r="F92" s="138">
        <v>3</v>
      </c>
      <c r="G92" s="139">
        <f t="shared" si="4"/>
        <v>1.4500000000000002</v>
      </c>
      <c r="H92" s="140" t="str">
        <f>IF(AND(G92&gt;=$C$6,G92&lt;=$D$6),$B$6,IF(AND(G92&gt;=$C$5,G92&lt;=$D$5),$B$5,IF(AND(G92&gt;=$C$4,G92&lt;=$D$4),$B$4,IF(AND(G92&gt;=#REF!,G92&lt;=#REF!),#REF!))))</f>
        <v>Medium</v>
      </c>
      <c r="I92" s="140"/>
      <c r="J92" s="141">
        <f t="shared" si="5"/>
        <v>1.4500000000000002</v>
      </c>
      <c r="K92" s="140" t="str">
        <f>IF(AND(J92&gt;=$C$6,J92&lt;=$D$6),$B$6,IF(AND(J92&gt;=$C$5,J92&lt;=$D$5),$B$5,IF(AND(J92&gt;=$C$4,J92&lt;=$D$4),$B$4,IF(AND(J92&gt;=#REF!,J92&lt;=#REF!),#REF!))))</f>
        <v>Medium</v>
      </c>
    </row>
    <row r="93" spans="2:11" s="132" customFormat="1" x14ac:dyDescent="0.25">
      <c r="B93" s="137" t="s">
        <v>185</v>
      </c>
      <c r="C93" s="138">
        <f>[11]FATF!D85</f>
        <v>1</v>
      </c>
      <c r="D93" s="138">
        <f>[11]BASEL!H86</f>
        <v>2</v>
      </c>
      <c r="E93" s="138">
        <v>1</v>
      </c>
      <c r="F93" s="138">
        <v>1</v>
      </c>
      <c r="G93" s="139">
        <f t="shared" si="4"/>
        <v>1.35</v>
      </c>
      <c r="H93" s="140" t="str">
        <f>IF(AND(G93&gt;=$C$6,G93&lt;=$D$6),$B$6,IF(AND(G93&gt;=$C$5,G93&lt;=$D$5),$B$5,IF(AND(G93&gt;=$C$4,G93&lt;=$D$4),$B$4,IF(AND(G93&gt;=#REF!,G93&lt;=#REF!),#REF!))))</f>
        <v>Medium</v>
      </c>
      <c r="I93" s="140"/>
      <c r="J93" s="141">
        <f t="shared" si="5"/>
        <v>1.35</v>
      </c>
      <c r="K93" s="140" t="str">
        <f>IF(AND(J93&gt;=$C$6,J93&lt;=$D$6),$B$6,IF(AND(J93&gt;=$C$5,J93&lt;=$D$5),$B$5,IF(AND(J93&gt;=$C$4,J93&lt;=$D$4),$B$4,IF(AND(J93&gt;=#REF!,J93&lt;=#REF!),#REF!))))</f>
        <v>Medium</v>
      </c>
    </row>
    <row r="94" spans="2:11" s="132" customFormat="1" x14ac:dyDescent="0.25">
      <c r="B94" s="137" t="s">
        <v>186</v>
      </c>
      <c r="C94" s="138">
        <f>[11]FATF!D86</f>
        <v>1</v>
      </c>
      <c r="D94" s="138">
        <f>[11]BASEL!H87</f>
        <v>2</v>
      </c>
      <c r="E94" s="138">
        <v>1</v>
      </c>
      <c r="F94" s="138">
        <v>1</v>
      </c>
      <c r="G94" s="139">
        <f t="shared" si="4"/>
        <v>1.35</v>
      </c>
      <c r="H94" s="140" t="str">
        <f>IF(AND(G94&gt;=$C$6,G94&lt;=$D$6),$B$6,IF(AND(G94&gt;=$C$5,G94&lt;=$D$5),$B$5,IF(AND(G94&gt;=$C$4,G94&lt;=$D$4),$B$4,IF(AND(G94&gt;=#REF!,G94&lt;=#REF!),#REF!))))</f>
        <v>Medium</v>
      </c>
      <c r="I94" s="140"/>
      <c r="J94" s="141">
        <f t="shared" si="5"/>
        <v>1.35</v>
      </c>
      <c r="K94" s="140" t="str">
        <f>IF(AND(J94&gt;=$C$6,J94&lt;=$D$6),$B$6,IF(AND(J94&gt;=$C$5,J94&lt;=$D$5),$B$5,IF(AND(J94&gt;=$C$4,J94&lt;=$D$4),$B$4,IF(AND(J94&gt;=#REF!,J94&lt;=#REF!),#REF!))))</f>
        <v>Medium</v>
      </c>
    </row>
    <row r="95" spans="2:11" s="132" customFormat="1" x14ac:dyDescent="0.25">
      <c r="B95" s="137" t="s">
        <v>16</v>
      </c>
      <c r="C95" s="138">
        <f>[11]FATF!D87</f>
        <v>1</v>
      </c>
      <c r="D95" s="138">
        <f>[11]BASEL!H88</f>
        <v>2</v>
      </c>
      <c r="E95" s="138">
        <v>1</v>
      </c>
      <c r="F95" s="138">
        <v>1</v>
      </c>
      <c r="G95" s="139">
        <f t="shared" si="4"/>
        <v>1.35</v>
      </c>
      <c r="H95" s="140" t="str">
        <f>IF(AND(G95&gt;=$C$6,G95&lt;=$D$6),$B$6,IF(AND(G95&gt;=$C$5,G95&lt;=$D$5),$B$5,IF(AND(G95&gt;=$C$4,G95&lt;=$D$4),$B$4,IF(AND(G95&gt;=#REF!,G95&lt;=#REF!),#REF!))))</f>
        <v>Medium</v>
      </c>
      <c r="I95" s="140"/>
      <c r="J95" s="141">
        <f t="shared" si="5"/>
        <v>1.35</v>
      </c>
      <c r="K95" s="140" t="str">
        <f>IF(AND(J95&gt;=$C$6,J95&lt;=$D$6),$B$6,IF(AND(J95&gt;=$C$5,J95&lt;=$D$5),$B$5,IF(AND(J95&gt;=$C$4,J95&lt;=$D$4),$B$4,IF(AND(J95&gt;=#REF!,J95&lt;=#REF!),#REF!))))</f>
        <v>Medium</v>
      </c>
    </row>
    <row r="96" spans="2:11" s="132" customFormat="1" x14ac:dyDescent="0.25">
      <c r="B96" s="137" t="s">
        <v>1360</v>
      </c>
      <c r="C96" s="138">
        <f>[11]FATF!D88</f>
        <v>1</v>
      </c>
      <c r="D96" s="142">
        <v>2</v>
      </c>
      <c r="E96" s="138">
        <v>1</v>
      </c>
      <c r="F96" s="138">
        <v>1</v>
      </c>
      <c r="G96" s="139">
        <f t="shared" si="4"/>
        <v>1.35</v>
      </c>
      <c r="H96" s="140" t="str">
        <f>IF(AND(G96&gt;=$C$6,G96&lt;=$D$6),$B$6,IF(AND(G96&gt;=$C$5,G96&lt;=$D$5),$B$5,IF(AND(G96&gt;=$C$4,G96&lt;=$D$4),$B$4,IF(AND(G96&gt;=#REF!,G96&lt;=#REF!),#REF!))))</f>
        <v>Medium</v>
      </c>
      <c r="I96" s="140"/>
      <c r="J96" s="141">
        <f t="shared" si="5"/>
        <v>1.35</v>
      </c>
      <c r="K96" s="140" t="str">
        <f>IF(AND(J96&gt;=$C$6,J96&lt;=$D$6),$B$6,IF(AND(J96&gt;=$C$5,J96&lt;=$D$5),$B$5,IF(AND(J96&gt;=$C$4,J96&lt;=$D$4),$B$4,IF(AND(J96&gt;=#REF!,J96&lt;=#REF!),#REF!))))</f>
        <v>Medium</v>
      </c>
    </row>
    <row r="97" spans="2:11" s="132" customFormat="1" x14ac:dyDescent="0.25">
      <c r="B97" s="137" t="s">
        <v>17</v>
      </c>
      <c r="C97" s="138">
        <f>[11]FATF!D89</f>
        <v>1</v>
      </c>
      <c r="D97" s="138">
        <f>[11]BASEL!H90</f>
        <v>1</v>
      </c>
      <c r="E97" s="138">
        <v>2</v>
      </c>
      <c r="F97" s="138">
        <v>1</v>
      </c>
      <c r="G97" s="139">
        <f t="shared" si="4"/>
        <v>1.3</v>
      </c>
      <c r="H97" s="140" t="str">
        <f>IF(AND(G97&gt;=$C$6,G97&lt;=$D$6),$B$6,IF(AND(G97&gt;=$C$5,G97&lt;=$D$5),$B$5,IF(AND(G97&gt;=$C$4,G97&lt;=$D$4),$B$4,IF(AND(G97&gt;=#REF!,G97&lt;=#REF!),#REF!))))</f>
        <v>Medium</v>
      </c>
      <c r="I97" s="140"/>
      <c r="J97" s="141">
        <f t="shared" si="5"/>
        <v>1.3</v>
      </c>
      <c r="K97" s="140" t="str">
        <f>IF(AND(J97&gt;=$C$6,J97&lt;=$D$6),$B$6,IF(AND(J97&gt;=$C$5,J97&lt;=$D$5),$B$5,IF(AND(J97&gt;=$C$4,J97&lt;=$D$4),$B$4,IF(AND(J97&gt;=#REF!,J97&lt;=#REF!),#REF!))))</f>
        <v>Medium</v>
      </c>
    </row>
    <row r="98" spans="2:11" x14ac:dyDescent="0.25">
      <c r="B98" s="137" t="s">
        <v>1361</v>
      </c>
      <c r="C98" s="142">
        <v>1</v>
      </c>
      <c r="D98" s="142">
        <v>1</v>
      </c>
      <c r="E98" s="138">
        <v>1</v>
      </c>
      <c r="F98" s="138">
        <v>1</v>
      </c>
      <c r="G98" s="139">
        <f t="shared" si="4"/>
        <v>1</v>
      </c>
      <c r="H98" s="140" t="str">
        <f>IF(AND(G98&gt;=$C$6,G98&lt;=$D$6),$B$6,IF(AND(G98&gt;=$C$5,G98&lt;=$D$5),$B$5,IF(AND(G98&gt;=$C$4,G98&lt;=$D$4),$B$4,IF(AND(G98&gt;=#REF!,G98&lt;=#REF!),#REF!))))</f>
        <v>Low</v>
      </c>
      <c r="I98" s="140"/>
      <c r="J98" s="141">
        <f t="shared" si="5"/>
        <v>1</v>
      </c>
      <c r="K98" s="140" t="str">
        <f>IF(AND(J98&gt;=$C$6,J98&lt;=$D$6),$B$6,IF(AND(J98&gt;=$C$5,J98&lt;=$D$5),$B$5,IF(AND(J98&gt;=$C$4,J98&lt;=$D$4),$B$4,IF(AND(J98&gt;=#REF!,J98&lt;=#REF!),#REF!))))</f>
        <v>Low</v>
      </c>
    </row>
    <row r="99" spans="2:11" s="132" customFormat="1" x14ac:dyDescent="0.25">
      <c r="B99" s="137" t="s">
        <v>18</v>
      </c>
      <c r="C99" s="138">
        <f>[11]FATF!D91</f>
        <v>1</v>
      </c>
      <c r="D99" s="138">
        <f>[11]BASEL!H92</f>
        <v>2</v>
      </c>
      <c r="E99" s="138">
        <v>1</v>
      </c>
      <c r="F99" s="138">
        <v>1</v>
      </c>
      <c r="G99" s="139">
        <f t="shared" si="4"/>
        <v>1.35</v>
      </c>
      <c r="H99" s="140" t="str">
        <f>IF(AND(G99&gt;=$C$6,G99&lt;=$D$6),$B$6,IF(AND(G99&gt;=$C$5,G99&lt;=$D$5),$B$5,IF(AND(G99&gt;=$C$4,G99&lt;=$D$4),$B$4,IF(AND(G99&gt;=#REF!,G99&lt;=#REF!),#REF!))))</f>
        <v>Medium</v>
      </c>
      <c r="I99" s="140"/>
      <c r="J99" s="141">
        <f t="shared" si="5"/>
        <v>1.35</v>
      </c>
      <c r="K99" s="140" t="str">
        <f>IF(AND(J99&gt;=$C$6,J99&lt;=$D$6),$B$6,IF(AND(J99&gt;=$C$5,J99&lt;=$D$5),$B$5,IF(AND(J99&gt;=$C$4,J99&lt;=$D$4),$B$4,IF(AND(J99&gt;=#REF!,J99&lt;=#REF!),#REF!))))</f>
        <v>Medium</v>
      </c>
    </row>
    <row r="100" spans="2:11" s="132" customFormat="1" x14ac:dyDescent="0.25">
      <c r="B100" s="164" t="s">
        <v>1362</v>
      </c>
      <c r="C100" s="142">
        <v>1</v>
      </c>
      <c r="D100" s="142">
        <v>1</v>
      </c>
      <c r="E100" s="138">
        <v>1</v>
      </c>
      <c r="F100" s="138">
        <v>1</v>
      </c>
      <c r="G100" s="139">
        <f t="shared" si="4"/>
        <v>1</v>
      </c>
      <c r="H100" s="140" t="str">
        <f>IF(AND(G100&gt;=$C$6,G100&lt;=$D$6),$B$6,IF(AND(G100&gt;=$C$5,G100&lt;=$D$5),$B$5,IF(AND(G100&gt;=$C$4,G100&lt;=$D$4),$B$4,IF(AND(G100&gt;=#REF!,G100&lt;=#REF!),#REF!))))</f>
        <v>Low</v>
      </c>
      <c r="I100" s="140"/>
      <c r="J100" s="141">
        <f t="shared" si="5"/>
        <v>1</v>
      </c>
      <c r="K100" s="140" t="str">
        <f>IF(AND(J100&gt;=$C$6,J100&lt;=$D$6),$B$6,IF(AND(J100&gt;=$C$5,J100&lt;=$D$5),$B$5,IF(AND(J100&gt;=$C$4,J100&lt;=$D$4),$B$4,IF(AND(J100&gt;=#REF!,J100&lt;=#REF!),#REF!))))</f>
        <v>Low</v>
      </c>
    </row>
    <row r="101" spans="2:11" s="132" customFormat="1" x14ac:dyDescent="0.25">
      <c r="B101" s="137" t="s">
        <v>1363</v>
      </c>
      <c r="C101" s="142">
        <v>1</v>
      </c>
      <c r="D101" s="142">
        <v>1</v>
      </c>
      <c r="E101" s="138">
        <v>1</v>
      </c>
      <c r="F101" s="138">
        <v>1</v>
      </c>
      <c r="G101" s="139">
        <f t="shared" si="4"/>
        <v>1</v>
      </c>
      <c r="H101" s="140" t="str">
        <f>IF(AND(G101&gt;=$C$6,G101&lt;=$D$6),$B$6,IF(AND(G101&gt;=$C$5,G101&lt;=$D$5),$B$5,IF(AND(G101&gt;=$C$4,G101&lt;=$D$4),$B$4,IF(AND(G101&gt;=#REF!,G101&lt;=#REF!),#REF!))))</f>
        <v>Low</v>
      </c>
      <c r="I101" s="140"/>
      <c r="J101" s="141">
        <f t="shared" si="5"/>
        <v>1</v>
      </c>
      <c r="K101" s="140" t="str">
        <f>IF(AND(J101&gt;=$C$6,J101&lt;=$D$6),$B$6,IF(AND(J101&gt;=$C$5,J101&lt;=$D$5),$B$5,IF(AND(J101&gt;=$C$4,J101&lt;=$D$4),$B$4,IF(AND(J101&gt;=#REF!,J101&lt;=#REF!),#REF!))))</f>
        <v>Low</v>
      </c>
    </row>
    <row r="102" spans="2:11" s="132" customFormat="1" x14ac:dyDescent="0.25">
      <c r="B102" s="137" t="s">
        <v>19</v>
      </c>
      <c r="C102" s="138">
        <f>[11]FATF!D94</f>
        <v>1</v>
      </c>
      <c r="D102" s="138">
        <f>[11]BASEL!H95</f>
        <v>2</v>
      </c>
      <c r="E102" s="138">
        <v>1</v>
      </c>
      <c r="F102" s="138">
        <v>1</v>
      </c>
      <c r="G102" s="139">
        <f t="shared" si="4"/>
        <v>1.35</v>
      </c>
      <c r="H102" s="140" t="str">
        <f>IF(AND(G102&gt;=$C$6,G102&lt;=$D$6),$B$6,IF(AND(G102&gt;=$C$5,G102&lt;=$D$5),$B$5,IF(AND(G102&gt;=$C$4,G102&lt;=$D$4),$B$4,IF(AND(G102&gt;=#REF!,G102&lt;=#REF!),#REF!))))</f>
        <v>Medium</v>
      </c>
      <c r="I102" s="140"/>
      <c r="J102" s="141">
        <f t="shared" si="5"/>
        <v>1.35</v>
      </c>
      <c r="K102" s="140" t="str">
        <f>IF(AND(J102&gt;=$C$6,J102&lt;=$D$6),$B$6,IF(AND(J102&gt;=$C$5,J102&lt;=$D$5),$B$5,IF(AND(J102&gt;=$C$4,J102&lt;=$D$4),$B$4,IF(AND(J102&gt;=#REF!,J102&lt;=#REF!),#REF!))))</f>
        <v>Medium</v>
      </c>
    </row>
    <row r="103" spans="2:11" s="132" customFormat="1" x14ac:dyDescent="0.25">
      <c r="B103" s="137" t="s">
        <v>1364</v>
      </c>
      <c r="C103" s="138">
        <f>[11]FATF!D95</f>
        <v>1</v>
      </c>
      <c r="D103" s="142">
        <v>1</v>
      </c>
      <c r="E103" s="138">
        <v>1</v>
      </c>
      <c r="F103" s="138">
        <v>1</v>
      </c>
      <c r="G103" s="139">
        <f t="shared" si="4"/>
        <v>1</v>
      </c>
      <c r="H103" s="140" t="str">
        <f>IF(AND(G103&gt;=$C$6,G103&lt;=$D$6),$B$6,IF(AND(G103&gt;=$C$5,G103&lt;=$D$5),$B$5,IF(AND(G103&gt;=$C$4,G103&lt;=$D$4),$B$4,IF(AND(G103&gt;=#REF!,G103&lt;=#REF!),#REF!))))</f>
        <v>Low</v>
      </c>
      <c r="I103" s="140"/>
      <c r="J103" s="141">
        <f t="shared" si="5"/>
        <v>1</v>
      </c>
      <c r="K103" s="140" t="str">
        <f>IF(AND(J103&gt;=$C$6,J103&lt;=$D$6),$B$6,IF(AND(J103&gt;=$C$5,J103&lt;=$D$5),$B$5,IF(AND(J103&gt;=$C$4,J103&lt;=$D$4),$B$4,IF(AND(J103&gt;=#REF!,J103&lt;=#REF!),#REF!))))</f>
        <v>Low</v>
      </c>
    </row>
    <row r="104" spans="2:11" s="132" customFormat="1" x14ac:dyDescent="0.25">
      <c r="B104" s="137" t="s">
        <v>20</v>
      </c>
      <c r="C104" s="138">
        <f>[11]FATF!D96</f>
        <v>1</v>
      </c>
      <c r="D104" s="138">
        <f>[11]BASEL!H97</f>
        <v>2</v>
      </c>
      <c r="E104" s="138">
        <v>2</v>
      </c>
      <c r="F104" s="138">
        <v>3</v>
      </c>
      <c r="G104" s="139">
        <f t="shared" si="4"/>
        <v>1.75</v>
      </c>
      <c r="H104" s="140" t="str">
        <f>IF(AND(G104&gt;=$C$6,G104&lt;=$D$6),$B$6,IF(AND(G104&gt;=$C$5,G104&lt;=$D$5),$B$5,IF(AND(G104&gt;=$C$4,G104&lt;=$D$4),$B$4,IF(AND(G104&gt;=#REF!,G104&lt;=#REF!),#REF!))))</f>
        <v>Medium</v>
      </c>
      <c r="I104" s="140"/>
      <c r="J104" s="141">
        <f t="shared" si="5"/>
        <v>1.75</v>
      </c>
      <c r="K104" s="140" t="str">
        <f>IF(AND(J104&gt;=$C$6,J104&lt;=$D$6),$B$6,IF(AND(J104&gt;=$C$5,J104&lt;=$D$5),$B$5,IF(AND(J104&gt;=$C$4,J104&lt;=$D$4),$B$4,IF(AND(J104&gt;=#REF!,J104&lt;=#REF!),#REF!))))</f>
        <v>Medium</v>
      </c>
    </row>
    <row r="105" spans="2:11" s="132" customFormat="1" x14ac:dyDescent="0.25">
      <c r="B105" s="137" t="s">
        <v>21</v>
      </c>
      <c r="C105" s="138">
        <f>[11]FATF!D97</f>
        <v>1</v>
      </c>
      <c r="D105" s="138">
        <f>[11]BASEL!H98</f>
        <v>3</v>
      </c>
      <c r="E105" s="138">
        <v>2</v>
      </c>
      <c r="F105" s="138">
        <v>1</v>
      </c>
      <c r="G105" s="139">
        <f t="shared" si="4"/>
        <v>1.9999999999999998</v>
      </c>
      <c r="H105" s="140" t="str">
        <f>IF(AND(G105&gt;=$C$6,G105&lt;=$D$6),$B$6,IF(AND(G105&gt;=$C$5,G105&lt;=$D$5),$B$5,IF(AND(G105&gt;=$C$4,G105&lt;=$D$4),$B$4,IF(AND(G105&gt;=#REF!,G105&lt;=#REF!),#REF!))))</f>
        <v>Medium</v>
      </c>
      <c r="I105" s="140"/>
      <c r="J105" s="141">
        <f t="shared" si="5"/>
        <v>1.9999999999999998</v>
      </c>
      <c r="K105" s="140" t="str">
        <f>IF(AND(J105&gt;=$C$6,J105&lt;=$D$6),$B$6,IF(AND(J105&gt;=$C$5,J105&lt;=$D$5),$B$5,IF(AND(J105&gt;=$C$4,J105&lt;=$D$4),$B$4,IF(AND(J105&gt;=#REF!,J105&lt;=#REF!),#REF!))))</f>
        <v>Medium</v>
      </c>
    </row>
    <row r="106" spans="2:11" s="132" customFormat="1" x14ac:dyDescent="0.25">
      <c r="B106" s="137" t="s">
        <v>187</v>
      </c>
      <c r="C106" s="138">
        <f>[11]FATF!D98</f>
        <v>1</v>
      </c>
      <c r="D106" s="138">
        <f>[11]BASEL!H99</f>
        <v>2</v>
      </c>
      <c r="E106" s="138">
        <v>1</v>
      </c>
      <c r="F106" s="138">
        <v>1</v>
      </c>
      <c r="G106" s="139">
        <f t="shared" si="4"/>
        <v>1.35</v>
      </c>
      <c r="H106" s="140" t="str">
        <f>IF(AND(G106&gt;=$C$6,G106&lt;=$D$6),$B$6,IF(AND(G106&gt;=$C$5,G106&lt;=$D$5),$B$5,IF(AND(G106&gt;=$C$4,G106&lt;=$D$4),$B$4,IF(AND(G106&gt;=#REF!,G106&lt;=#REF!),#REF!))))</f>
        <v>Medium</v>
      </c>
      <c r="I106" s="140"/>
      <c r="J106" s="141">
        <f t="shared" si="5"/>
        <v>1.35</v>
      </c>
      <c r="K106" s="140" t="str">
        <f>IF(AND(J106&gt;=$C$6,J106&lt;=$D$6),$B$6,IF(AND(J106&gt;=$C$5,J106&lt;=$D$5),$B$5,IF(AND(J106&gt;=$C$4,J106&lt;=$D$4),$B$4,IF(AND(J106&gt;=#REF!,J106&lt;=#REF!),#REF!))))</f>
        <v>Medium</v>
      </c>
    </row>
    <row r="107" spans="2:11" s="132" customFormat="1" x14ac:dyDescent="0.25">
      <c r="B107" s="137" t="s">
        <v>188</v>
      </c>
      <c r="C107" s="138">
        <f>[11]FATF!D99</f>
        <v>2</v>
      </c>
      <c r="D107" s="138">
        <f>[11]BASEL!H100</f>
        <v>3</v>
      </c>
      <c r="E107" s="138">
        <v>1</v>
      </c>
      <c r="F107" s="138">
        <v>1</v>
      </c>
      <c r="G107" s="139">
        <f t="shared" si="4"/>
        <v>2</v>
      </c>
      <c r="H107" s="140" t="str">
        <f>IF(AND(G107&gt;=$C$6,G107&lt;=$D$6),$B$6,IF(AND(G107&gt;=$C$5,G107&lt;=$D$5),$B$5,IF(AND(G107&gt;=$C$4,G107&lt;=$D$4),$B$4,IF(AND(G107&gt;=#REF!,G107&lt;=#REF!),#REF!))))</f>
        <v>Medium</v>
      </c>
      <c r="I107" s="140" t="s">
        <v>1393</v>
      </c>
      <c r="J107" s="141">
        <f t="shared" si="5"/>
        <v>3</v>
      </c>
      <c r="K107" s="140" t="str">
        <f>IF(AND(J107&gt;=$C$6,J107&lt;=$D$6),$B$6,IF(AND(J107&gt;=$C$5,J107&lt;=$D$5),$B$5,IF(AND(J107&gt;=$C$4,J107&lt;=$D$4),$B$4,IF(AND(J107&gt;=#REF!,J107&lt;=#REF!),#REF!))))</f>
        <v>High</v>
      </c>
    </row>
    <row r="108" spans="2:11" s="132" customFormat="1" x14ac:dyDescent="0.25">
      <c r="B108" s="137" t="s">
        <v>1365</v>
      </c>
      <c r="C108" s="142">
        <v>1</v>
      </c>
      <c r="D108" s="142">
        <v>1</v>
      </c>
      <c r="E108" s="138">
        <v>1</v>
      </c>
      <c r="F108" s="138">
        <v>1</v>
      </c>
      <c r="G108" s="139">
        <f t="shared" si="4"/>
        <v>1</v>
      </c>
      <c r="H108" s="140" t="str">
        <f>IF(AND(G108&gt;=$C$6,G108&lt;=$D$6),$B$6,IF(AND(G108&gt;=$C$5,G108&lt;=$D$5),$B$5,IF(AND(G108&gt;=$C$4,G108&lt;=$D$4),$B$4,IF(AND(G108&gt;=#REF!,G108&lt;=#REF!),#REF!))))</f>
        <v>Low</v>
      </c>
      <c r="I108" s="140"/>
      <c r="J108" s="141">
        <f t="shared" si="5"/>
        <v>1</v>
      </c>
      <c r="K108" s="140" t="str">
        <f>IF(AND(J108&gt;=$C$6,J108&lt;=$D$6),$B$6,IF(AND(J108&gt;=$C$5,J108&lt;=$D$5),$B$5,IF(AND(J108&gt;=$C$4,J108&lt;=$D$4),$B$4,IF(AND(J108&gt;=#REF!,J108&lt;=#REF!),#REF!))))</f>
        <v>Low</v>
      </c>
    </row>
    <row r="109" spans="2:11" s="132" customFormat="1" x14ac:dyDescent="0.25">
      <c r="B109" s="137" t="s">
        <v>189</v>
      </c>
      <c r="C109" s="138">
        <f>[11]FATF!D101</f>
        <v>1</v>
      </c>
      <c r="D109" s="138">
        <f>[11]BASEL!H102</f>
        <v>2</v>
      </c>
      <c r="E109" s="138">
        <v>1</v>
      </c>
      <c r="F109" s="138">
        <v>1</v>
      </c>
      <c r="G109" s="139">
        <f t="shared" si="4"/>
        <v>1.35</v>
      </c>
      <c r="H109" s="140" t="str">
        <f>IF(AND(G109&gt;=$C$6,G109&lt;=$D$6),$B$6,IF(AND(G109&gt;=$C$5,G109&lt;=$D$5),$B$5,IF(AND(G109&gt;=$C$4,G109&lt;=$D$4),$B$4,IF(AND(G109&gt;=#REF!,G109&lt;=#REF!),#REF!))))</f>
        <v>Medium</v>
      </c>
      <c r="I109" s="140"/>
      <c r="J109" s="141">
        <f t="shared" si="5"/>
        <v>1.35</v>
      </c>
      <c r="K109" s="140" t="str">
        <f>IF(AND(J109&gt;=$C$6,J109&lt;=$D$6),$B$6,IF(AND(J109&gt;=$C$5,J109&lt;=$D$5),$B$5,IF(AND(J109&gt;=$C$4,J109&lt;=$D$4),$B$4,IF(AND(J109&gt;=#REF!,J109&lt;=#REF!),#REF!))))</f>
        <v>Medium</v>
      </c>
    </row>
    <row r="110" spans="2:11" s="132" customFormat="1" x14ac:dyDescent="0.25">
      <c r="B110" s="137" t="s">
        <v>190</v>
      </c>
      <c r="C110" s="138">
        <f>[11]FATF!D102</f>
        <v>1</v>
      </c>
      <c r="D110" s="138">
        <f>[11]BASEL!H103</f>
        <v>2</v>
      </c>
      <c r="E110" s="138">
        <v>1</v>
      </c>
      <c r="F110" s="138">
        <v>1</v>
      </c>
      <c r="G110" s="139">
        <f t="shared" si="4"/>
        <v>1.35</v>
      </c>
      <c r="H110" s="140" t="str">
        <f>IF(AND(G110&gt;=$C$6,G110&lt;=$D$6),$B$6,IF(AND(G110&gt;=$C$5,G110&lt;=$D$5),$B$5,IF(AND(G110&gt;=$C$4,G110&lt;=$D$4),$B$4,IF(AND(G110&gt;=#REF!,G110&lt;=#REF!),#REF!))))</f>
        <v>Medium</v>
      </c>
      <c r="I110" s="140"/>
      <c r="J110" s="141">
        <f t="shared" si="5"/>
        <v>1.35</v>
      </c>
      <c r="K110" s="140" t="str">
        <f>IF(AND(J110&gt;=$C$6,J110&lt;=$D$6),$B$6,IF(AND(J110&gt;=$C$5,J110&lt;=$D$5),$B$5,IF(AND(J110&gt;=$C$4,J110&lt;=$D$4),$B$4,IF(AND(J110&gt;=#REF!,J110&lt;=#REF!),#REF!))))</f>
        <v>Medium</v>
      </c>
    </row>
    <row r="111" spans="2:11" s="132" customFormat="1" x14ac:dyDescent="0.25">
      <c r="B111" s="137" t="s">
        <v>23</v>
      </c>
      <c r="C111" s="138">
        <f>[11]FATF!D103</f>
        <v>1</v>
      </c>
      <c r="D111" s="138">
        <f>[11]BASEL!H104</f>
        <v>2</v>
      </c>
      <c r="E111" s="138">
        <v>1</v>
      </c>
      <c r="F111" s="138">
        <v>1</v>
      </c>
      <c r="G111" s="139">
        <f t="shared" si="4"/>
        <v>1.35</v>
      </c>
      <c r="H111" s="140" t="str">
        <f>IF(AND(G111&gt;=$C$6,G111&lt;=$D$6),$B$6,IF(AND(G111&gt;=$C$5,G111&lt;=$D$5),$B$5,IF(AND(G111&gt;=$C$4,G111&lt;=$D$4),$B$4,IF(AND(G111&gt;=#REF!,G111&lt;=#REF!),#REF!))))</f>
        <v>Medium</v>
      </c>
      <c r="I111" s="140"/>
      <c r="J111" s="141">
        <f t="shared" si="5"/>
        <v>1.35</v>
      </c>
      <c r="K111" s="140" t="str">
        <f>IF(AND(J111&gt;=$C$6,J111&lt;=$D$6),$B$6,IF(AND(J111&gt;=$C$5,J111&lt;=$D$5),$B$5,IF(AND(J111&gt;=$C$4,J111&lt;=$D$4),$B$4,IF(AND(J111&gt;=#REF!,J111&lt;=#REF!),#REF!))))</f>
        <v>Medium</v>
      </c>
    </row>
    <row r="112" spans="2:11" s="132" customFormat="1" x14ac:dyDescent="0.25">
      <c r="B112" s="137" t="s">
        <v>24</v>
      </c>
      <c r="C112" s="138">
        <f>[11]FATF!D104</f>
        <v>1</v>
      </c>
      <c r="D112" s="138">
        <f>[11]BASEL!H105</f>
        <v>1</v>
      </c>
      <c r="E112" s="138">
        <v>1</v>
      </c>
      <c r="F112" s="138">
        <v>1</v>
      </c>
      <c r="G112" s="139">
        <f t="shared" si="4"/>
        <v>1</v>
      </c>
      <c r="H112" s="140" t="str">
        <f>IF(AND(G112&gt;=$C$6,G112&lt;=$D$6),$B$6,IF(AND(G112&gt;=$C$5,G112&lt;=$D$5),$B$5,IF(AND(G112&gt;=$C$4,G112&lt;=$D$4),$B$4,IF(AND(G112&gt;=#REF!,G112&lt;=#REF!),#REF!))))</f>
        <v>Low</v>
      </c>
      <c r="I112" s="140"/>
      <c r="J112" s="141">
        <f t="shared" si="5"/>
        <v>1</v>
      </c>
      <c r="K112" s="140" t="str">
        <f>IF(AND(J112&gt;=$C$6,J112&lt;=$D$6),$B$6,IF(AND(J112&gt;=$C$5,J112&lt;=$D$5),$B$5,IF(AND(J112&gt;=$C$4,J112&lt;=$D$4),$B$4,IF(AND(J112&gt;=#REF!,J112&lt;=#REF!),#REF!))))</f>
        <v>Low</v>
      </c>
    </row>
    <row r="113" spans="2:11" s="132" customFormat="1" x14ac:dyDescent="0.25">
      <c r="B113" s="137" t="s">
        <v>25</v>
      </c>
      <c r="C113" s="138">
        <f>[11]FATF!D105</f>
        <v>1</v>
      </c>
      <c r="D113" s="138">
        <f>[11]BASEL!H106</f>
        <v>2</v>
      </c>
      <c r="E113" s="138">
        <v>1</v>
      </c>
      <c r="F113" s="138">
        <v>1</v>
      </c>
      <c r="G113" s="139">
        <f t="shared" si="4"/>
        <v>1.35</v>
      </c>
      <c r="H113" s="140" t="str">
        <f>IF(AND(G113&gt;=$C$6,G113&lt;=$D$6),$B$6,IF(AND(G113&gt;=$C$5,G113&lt;=$D$5),$B$5,IF(AND(G113&gt;=$C$4,G113&lt;=$D$4),$B$4,IF(AND(G113&gt;=#REF!,G113&lt;=#REF!),#REF!))))</f>
        <v>Medium</v>
      </c>
      <c r="I113" s="140"/>
      <c r="J113" s="141">
        <f t="shared" si="5"/>
        <v>1.35</v>
      </c>
      <c r="K113" s="140" t="str">
        <f>IF(AND(J113&gt;=$C$6,J113&lt;=$D$6),$B$6,IF(AND(J113&gt;=$C$5,J113&lt;=$D$5),$B$5,IF(AND(J113&gt;=$C$4,J113&lt;=$D$4),$B$4,IF(AND(J113&gt;=#REF!,J113&lt;=#REF!),#REF!))))</f>
        <v>Medium</v>
      </c>
    </row>
    <row r="114" spans="2:11" s="132" customFormat="1" x14ac:dyDescent="0.25">
      <c r="B114" s="137" t="s">
        <v>26</v>
      </c>
      <c r="C114" s="138">
        <f>[11]FATF!D106</f>
        <v>1</v>
      </c>
      <c r="D114" s="138">
        <f>[11]BASEL!H107</f>
        <v>2</v>
      </c>
      <c r="E114" s="138">
        <v>1</v>
      </c>
      <c r="F114" s="138">
        <v>3</v>
      </c>
      <c r="G114" s="139">
        <f t="shared" si="4"/>
        <v>1.4500000000000002</v>
      </c>
      <c r="H114" s="140" t="str">
        <f>IF(AND(G114&gt;=$C$6,G114&lt;=$D$6),$B$6,IF(AND(G114&gt;=$C$5,G114&lt;=$D$5),$B$5,IF(AND(G114&gt;=$C$4,G114&lt;=$D$4),$B$4,IF(AND(G114&gt;=#REF!,G114&lt;=#REF!),#REF!))))</f>
        <v>Medium</v>
      </c>
      <c r="I114" s="140"/>
      <c r="J114" s="141">
        <f t="shared" si="5"/>
        <v>1.4500000000000002</v>
      </c>
      <c r="K114" s="140" t="str">
        <f>IF(AND(J114&gt;=$C$6,J114&lt;=$D$6),$B$6,IF(AND(J114&gt;=$C$5,J114&lt;=$D$5),$B$5,IF(AND(J114&gt;=$C$4,J114&lt;=$D$4),$B$4,IF(AND(J114&gt;=#REF!,J114&lt;=#REF!),#REF!))))</f>
        <v>Medium</v>
      </c>
    </row>
    <row r="115" spans="2:11" s="132" customFormat="1" x14ac:dyDescent="0.25">
      <c r="B115" s="137" t="s">
        <v>191</v>
      </c>
      <c r="C115" s="138">
        <f>[11]FATF!D107</f>
        <v>3</v>
      </c>
      <c r="D115" s="138">
        <f>[11]BASEL!H108</f>
        <v>3</v>
      </c>
      <c r="E115" s="138">
        <v>3</v>
      </c>
      <c r="F115" s="138">
        <v>1</v>
      </c>
      <c r="G115" s="139">
        <f t="shared" si="4"/>
        <v>2.8999999999999995</v>
      </c>
      <c r="H115" s="140" t="str">
        <f>IF(AND(G115&gt;=$C$6,G115&lt;=$D$6),$B$6,IF(AND(G115&gt;=$C$5,G115&lt;=$D$5),$B$5,IF(AND(G115&gt;=$C$4,G115&lt;=$D$4),$B$4,IF(AND(G115&gt;=#REF!,G115&lt;=#REF!),#REF!))))</f>
        <v>High</v>
      </c>
      <c r="I115" s="161" t="s">
        <v>279</v>
      </c>
      <c r="J115" s="141">
        <f t="shared" si="5"/>
        <v>4</v>
      </c>
      <c r="K115" s="161" t="s">
        <v>279</v>
      </c>
    </row>
    <row r="116" spans="2:11" s="132" customFormat="1" x14ac:dyDescent="0.25">
      <c r="B116" s="137" t="s">
        <v>27</v>
      </c>
      <c r="C116" s="138">
        <f>[11]FATF!D108</f>
        <v>1</v>
      </c>
      <c r="D116" s="138">
        <f>[11]BASEL!H109</f>
        <v>3</v>
      </c>
      <c r="E116" s="138">
        <v>2</v>
      </c>
      <c r="F116" s="138">
        <v>3</v>
      </c>
      <c r="G116" s="139">
        <f t="shared" si="4"/>
        <v>2.0999999999999996</v>
      </c>
      <c r="H116" s="140" t="str">
        <f>IF(AND(G116&gt;=$C$6,G116&lt;=$D$6),$B$6,IF(AND(G116&gt;=$C$5,G116&lt;=$D$5),$B$5,IF(AND(G116&gt;=$C$4,G116&lt;=$D$4),$B$4,IF(AND(G116&gt;=#REF!,G116&lt;=#REF!),#REF!))))</f>
        <v>High</v>
      </c>
      <c r="I116" s="140"/>
      <c r="J116" s="141">
        <f t="shared" si="5"/>
        <v>2.0999999999999996</v>
      </c>
      <c r="K116" s="140" t="str">
        <f>IF(AND(J116&gt;=$C$6,J116&lt;=$D$6),$B$6,IF(AND(J116&gt;=$C$5,J116&lt;=$D$5),$B$5,IF(AND(J116&gt;=$C$4,J116&lt;=$D$4),$B$4,IF(AND(J116&gt;=#REF!,J116&lt;=#REF!),#REF!))))</f>
        <v>High</v>
      </c>
    </row>
    <row r="117" spans="2:11" s="132" customFormat="1" x14ac:dyDescent="0.25">
      <c r="B117" s="162" t="s">
        <v>28</v>
      </c>
      <c r="C117" s="138">
        <f>[11]FATF!D109</f>
        <v>1</v>
      </c>
      <c r="D117" s="138">
        <f>[11]BASEL!H110</f>
        <v>2</v>
      </c>
      <c r="E117" s="163">
        <v>1</v>
      </c>
      <c r="F117" s="163">
        <v>1</v>
      </c>
      <c r="G117" s="139">
        <f t="shared" si="4"/>
        <v>1.35</v>
      </c>
      <c r="H117" s="140" t="str">
        <f>IF(AND(G117&gt;=$C$6,G117&lt;=$D$6),$B$6,IF(AND(G117&gt;=$C$5,G117&lt;=$D$5),$B$5,IF(AND(G117&gt;=$C$4,G117&lt;=$D$4),$B$4,IF(AND(G117&gt;=#REF!,G117&lt;=#REF!),#REF!))))</f>
        <v>Medium</v>
      </c>
      <c r="I117" s="140"/>
      <c r="J117" s="141">
        <f t="shared" si="5"/>
        <v>1.35</v>
      </c>
      <c r="K117" s="140" t="str">
        <f>IF(AND(J117&gt;=$C$6,J117&lt;=$D$6),$B$6,IF(AND(J117&gt;=$C$5,J117&lt;=$D$5),$B$5,IF(AND(J117&gt;=$C$4,J117&lt;=$D$4),$B$4,IF(AND(J117&gt;=#REF!,J117&lt;=#REF!),#REF!))))</f>
        <v>Medium</v>
      </c>
    </row>
    <row r="118" spans="2:11" s="132" customFormat="1" x14ac:dyDescent="0.25">
      <c r="B118" s="137" t="s">
        <v>1366</v>
      </c>
      <c r="C118" s="138">
        <f>[11]FATF!D110</f>
        <v>1</v>
      </c>
      <c r="D118" s="142">
        <v>1</v>
      </c>
      <c r="E118" s="138">
        <v>1</v>
      </c>
      <c r="F118" s="138">
        <v>1</v>
      </c>
      <c r="G118" s="139">
        <f t="shared" si="4"/>
        <v>1</v>
      </c>
      <c r="H118" s="140" t="str">
        <f>IF(AND(G118&gt;=$C$6,G118&lt;=$D$6),$B$6,IF(AND(G118&gt;=$C$5,G118&lt;=$D$5),$B$5,IF(AND(G118&gt;=$C$4,G118&lt;=$D$4),$B$4,IF(AND(G118&gt;=#REF!,G118&lt;=#REF!),#REF!))))</f>
        <v>Low</v>
      </c>
      <c r="I118" s="140"/>
      <c r="J118" s="141">
        <f t="shared" si="5"/>
        <v>1</v>
      </c>
      <c r="K118" s="140" t="str">
        <f>IF(AND(J118&gt;=$C$6,J118&lt;=$D$6),$B$6,IF(AND(J118&gt;=$C$5,J118&lt;=$D$5),$B$5,IF(AND(J118&gt;=$C$4,J118&lt;=$D$4),$B$4,IF(AND(J118&gt;=#REF!,J118&lt;=#REF!),#REF!))))</f>
        <v>Low</v>
      </c>
    </row>
    <row r="119" spans="2:11" s="132" customFormat="1" x14ac:dyDescent="0.25">
      <c r="B119" s="137" t="s">
        <v>192</v>
      </c>
      <c r="C119" s="138">
        <f>[11]FATF!D111</f>
        <v>1</v>
      </c>
      <c r="D119" s="138">
        <f>[11]BASEL!H112</f>
        <v>1</v>
      </c>
      <c r="E119" s="138">
        <v>1</v>
      </c>
      <c r="F119" s="138">
        <v>1</v>
      </c>
      <c r="G119" s="139">
        <f t="shared" si="4"/>
        <v>1</v>
      </c>
      <c r="H119" s="140" t="str">
        <f>IF(AND(G119&gt;=$C$6,G119&lt;=$D$6),$B$6,IF(AND(G119&gt;=$C$5,G119&lt;=$D$5),$B$5,IF(AND(G119&gt;=$C$4,G119&lt;=$D$4),$B$4,IF(AND(G119&gt;=#REF!,G119&lt;=#REF!),#REF!))))</f>
        <v>Low</v>
      </c>
      <c r="I119" s="140"/>
      <c r="J119" s="141">
        <f t="shared" si="5"/>
        <v>1</v>
      </c>
      <c r="K119" s="140" t="str">
        <f>IF(AND(J119&gt;=$C$6,J119&lt;=$D$6),$B$6,IF(AND(J119&gt;=$C$5,J119&lt;=$D$5),$B$5,IF(AND(J119&gt;=$C$4,J119&lt;=$D$4),$B$4,IF(AND(J119&gt;=#REF!,J119&lt;=#REF!),#REF!))))</f>
        <v>Low</v>
      </c>
    </row>
    <row r="120" spans="2:11" s="132" customFormat="1" x14ac:dyDescent="0.25">
      <c r="B120" s="137" t="s">
        <v>29</v>
      </c>
      <c r="C120" s="138">
        <f>[11]FATF!D112</f>
        <v>1</v>
      </c>
      <c r="D120" s="138">
        <f>[11]BASEL!H113</f>
        <v>2</v>
      </c>
      <c r="E120" s="138">
        <v>1</v>
      </c>
      <c r="F120" s="138">
        <v>1</v>
      </c>
      <c r="G120" s="139">
        <f t="shared" si="4"/>
        <v>1.35</v>
      </c>
      <c r="H120" s="140" t="str">
        <f>IF(AND(G120&gt;=$C$6,G120&lt;=$D$6),$B$6,IF(AND(G120&gt;=$C$5,G120&lt;=$D$5),$B$5,IF(AND(G120&gt;=$C$4,G120&lt;=$D$4),$B$4,IF(AND(G120&gt;=#REF!,G120&lt;=#REF!),#REF!))))</f>
        <v>Medium</v>
      </c>
      <c r="I120" s="140"/>
      <c r="J120" s="141">
        <f t="shared" si="5"/>
        <v>1.35</v>
      </c>
      <c r="K120" s="140" t="str">
        <f>IF(AND(J120&gt;=$C$6,J120&lt;=$D$6),$B$6,IF(AND(J120&gt;=$C$5,J120&lt;=$D$5),$B$5,IF(AND(J120&gt;=$C$4,J120&lt;=$D$4),$B$4,IF(AND(J120&gt;=#REF!,J120&lt;=#REF!),#REF!))))</f>
        <v>Medium</v>
      </c>
    </row>
    <row r="121" spans="2:11" s="132" customFormat="1" x14ac:dyDescent="0.25">
      <c r="B121" s="137" t="s">
        <v>30</v>
      </c>
      <c r="C121" s="138">
        <f>[11]FATF!D113</f>
        <v>2</v>
      </c>
      <c r="D121" s="138">
        <f>[11]BASEL!H114</f>
        <v>2</v>
      </c>
      <c r="E121" s="138">
        <v>1</v>
      </c>
      <c r="F121" s="138">
        <v>1</v>
      </c>
      <c r="G121" s="139">
        <f t="shared" si="4"/>
        <v>1.65</v>
      </c>
      <c r="H121" s="140" t="str">
        <f>IF(AND(G121&gt;=$C$6,G121&lt;=$D$6),$B$6,IF(AND(G121&gt;=$C$5,G121&lt;=$D$5),$B$5,IF(AND(G121&gt;=$C$4,G121&lt;=$D$4),$B$4,IF(AND(G121&gt;=#REF!,G121&lt;=#REF!),#REF!))))</f>
        <v>Medium</v>
      </c>
      <c r="I121" s="140"/>
      <c r="J121" s="141">
        <f t="shared" si="5"/>
        <v>1.65</v>
      </c>
      <c r="K121" s="140" t="str">
        <f>IF(AND(J121&gt;=$C$6,J121&lt;=$D$6),$B$6,IF(AND(J121&gt;=$C$5,J121&lt;=$D$5),$B$5,IF(AND(J121&gt;=$C$4,J121&lt;=$D$4),$B$4,IF(AND(J121&gt;=#REF!,J121&lt;=#REF!),#REF!))))</f>
        <v>Medium</v>
      </c>
    </row>
    <row r="122" spans="2:11" s="132" customFormat="1" x14ac:dyDescent="0.25">
      <c r="B122" s="137" t="s">
        <v>31</v>
      </c>
      <c r="C122" s="138">
        <f>[11]FATF!D114</f>
        <v>1</v>
      </c>
      <c r="D122" s="138">
        <f>[11]BASEL!H115</f>
        <v>2</v>
      </c>
      <c r="E122" s="138">
        <v>1</v>
      </c>
      <c r="F122" s="138">
        <v>1</v>
      </c>
      <c r="G122" s="139">
        <f t="shared" si="4"/>
        <v>1.35</v>
      </c>
      <c r="H122" s="140" t="str">
        <f>IF(AND(G122&gt;=$C$6,G122&lt;=$D$6),$B$6,IF(AND(G122&gt;=$C$5,G122&lt;=$D$5),$B$5,IF(AND(G122&gt;=$C$4,G122&lt;=$D$4),$B$4,IF(AND(G122&gt;=#REF!,G122&lt;=#REF!),#REF!))))</f>
        <v>Medium</v>
      </c>
      <c r="I122" s="140"/>
      <c r="J122" s="141">
        <f t="shared" si="5"/>
        <v>1.35</v>
      </c>
      <c r="K122" s="140" t="str">
        <f>IF(AND(J122&gt;=$C$6,J122&lt;=$D$6),$B$6,IF(AND(J122&gt;=$C$5,J122&lt;=$D$5),$B$5,IF(AND(J122&gt;=$C$4,J122&lt;=$D$4),$B$4,IF(AND(J122&gt;=#REF!,J122&lt;=#REF!),#REF!))))</f>
        <v>Medium</v>
      </c>
    </row>
    <row r="123" spans="2:11" s="132" customFormat="1" x14ac:dyDescent="0.25">
      <c r="B123" s="137" t="s">
        <v>1367</v>
      </c>
      <c r="C123" s="138">
        <f>[11]FATF!D115</f>
        <v>1</v>
      </c>
      <c r="D123" s="142">
        <v>1</v>
      </c>
      <c r="E123" s="138">
        <v>1</v>
      </c>
      <c r="F123" s="138">
        <v>1</v>
      </c>
      <c r="G123" s="139">
        <f t="shared" si="4"/>
        <v>1</v>
      </c>
      <c r="H123" s="140" t="str">
        <f>IF(AND(G123&gt;=$C$6,G123&lt;=$D$6),$B$6,IF(AND(G123&gt;=$C$5,G123&lt;=$D$5),$B$5,IF(AND(G123&gt;=$C$4,G123&lt;=$D$4),$B$4,IF(AND(G123&gt;=#REF!,G123&lt;=#REF!),#REF!))))</f>
        <v>Low</v>
      </c>
      <c r="I123" s="140"/>
      <c r="J123" s="141">
        <f t="shared" si="5"/>
        <v>1</v>
      </c>
      <c r="K123" s="140" t="str">
        <f>IF(AND(J123&gt;=$C$6,J123&lt;=$D$6),$B$6,IF(AND(J123&gt;=$C$5,J123&lt;=$D$5),$B$5,IF(AND(J123&gt;=$C$4,J123&lt;=$D$4),$B$4,IF(AND(J123&gt;=#REF!,J123&lt;=#REF!),#REF!))))</f>
        <v>Low</v>
      </c>
    </row>
    <row r="124" spans="2:11" s="132" customFormat="1" x14ac:dyDescent="0.25">
      <c r="B124" s="137" t="s">
        <v>32</v>
      </c>
      <c r="C124" s="138">
        <f>[11]FATF!D116</f>
        <v>1</v>
      </c>
      <c r="D124" s="138">
        <f>[11]BASEL!H117</f>
        <v>2</v>
      </c>
      <c r="E124" s="138">
        <v>1</v>
      </c>
      <c r="F124" s="138">
        <v>1</v>
      </c>
      <c r="G124" s="139">
        <f t="shared" si="4"/>
        <v>1.35</v>
      </c>
      <c r="H124" s="140" t="str">
        <f>IF(AND(G124&gt;=$C$6,G124&lt;=$D$6),$B$6,IF(AND(G124&gt;=$C$5,G124&lt;=$D$5),$B$5,IF(AND(G124&gt;=$C$4,G124&lt;=$D$4),$B$4,IF(AND(G124&gt;=#REF!,G124&lt;=#REF!),#REF!))))</f>
        <v>Medium</v>
      </c>
      <c r="I124" s="140"/>
      <c r="J124" s="141">
        <f t="shared" si="5"/>
        <v>1.35</v>
      </c>
      <c r="K124" s="140" t="str">
        <f>IF(AND(J124&gt;=$C$6,J124&lt;=$D$6),$B$6,IF(AND(J124&gt;=$C$5,J124&lt;=$D$5),$B$5,IF(AND(J124&gt;=$C$4,J124&lt;=$D$4),$B$4,IF(AND(J124&gt;=#REF!,J124&lt;=#REF!),#REF!))))</f>
        <v>Medium</v>
      </c>
    </row>
    <row r="125" spans="2:11" s="132" customFormat="1" x14ac:dyDescent="0.25">
      <c r="B125" s="137" t="s">
        <v>193</v>
      </c>
      <c r="C125" s="138">
        <f>[11]FATF!D117</f>
        <v>1</v>
      </c>
      <c r="D125" s="138">
        <f>[11]BASEL!H118</f>
        <v>2</v>
      </c>
      <c r="E125" s="138">
        <v>1</v>
      </c>
      <c r="F125" s="138">
        <v>1</v>
      </c>
      <c r="G125" s="139">
        <f t="shared" si="4"/>
        <v>1.35</v>
      </c>
      <c r="H125" s="140" t="str">
        <f>IF(AND(G125&gt;=$C$6,G125&lt;=$D$6),$B$6,IF(AND(G125&gt;=$C$5,G125&lt;=$D$5),$B$5,IF(AND(G125&gt;=$C$4,G125&lt;=$D$4),$B$4,IF(AND(G125&gt;=#REF!,G125&lt;=#REF!),#REF!))))</f>
        <v>Medium</v>
      </c>
      <c r="I125" s="140"/>
      <c r="J125" s="141">
        <f t="shared" si="5"/>
        <v>1.35</v>
      </c>
      <c r="K125" s="140" t="str">
        <f>IF(AND(J125&gt;=$C$6,J125&lt;=$D$6),$B$6,IF(AND(J125&gt;=$C$5,J125&lt;=$D$5),$B$5,IF(AND(J125&gt;=$C$4,J125&lt;=$D$4),$B$4,IF(AND(J125&gt;=#REF!,J125&lt;=#REF!),#REF!))))</f>
        <v>Medium</v>
      </c>
    </row>
    <row r="126" spans="2:11" s="132" customFormat="1" x14ac:dyDescent="0.25">
      <c r="B126" s="137" t="s">
        <v>194</v>
      </c>
      <c r="C126" s="138">
        <f>[11]FATF!D118</f>
        <v>2</v>
      </c>
      <c r="D126" s="138">
        <f>[11]BASEL!H119</f>
        <v>2</v>
      </c>
      <c r="E126" s="138">
        <v>1</v>
      </c>
      <c r="F126" s="138">
        <v>1</v>
      </c>
      <c r="G126" s="139">
        <f t="shared" si="4"/>
        <v>1.65</v>
      </c>
      <c r="H126" s="140" t="str">
        <f>IF(AND(G126&gt;=$C$6,G126&lt;=$D$6),$B$6,IF(AND(G126&gt;=$C$5,G126&lt;=$D$5),$B$5,IF(AND(G126&gt;=$C$4,G126&lt;=$D$4),$B$4,IF(AND(G126&gt;=#REF!,G126&lt;=#REF!),#REF!))))</f>
        <v>Medium</v>
      </c>
      <c r="I126" s="140" t="s">
        <v>1393</v>
      </c>
      <c r="J126" s="141">
        <f t="shared" si="5"/>
        <v>3</v>
      </c>
      <c r="K126" s="140" t="str">
        <f>IF(AND(J126&gt;=$C$6,J126&lt;=$D$6),$B$6,IF(AND(J126&gt;=$C$5,J126&lt;=$D$5),$B$5,IF(AND(J126&gt;=$C$4,J126&lt;=$D$4),$B$4,IF(AND(J126&gt;=#REF!,J126&lt;=#REF!),#REF!))))</f>
        <v>High</v>
      </c>
    </row>
    <row r="127" spans="2:11" s="132" customFormat="1" x14ac:dyDescent="0.25">
      <c r="B127" s="137" t="s">
        <v>195</v>
      </c>
      <c r="C127" s="138">
        <f>[11]FATF!D119</f>
        <v>0</v>
      </c>
      <c r="D127" s="138">
        <f>[11]BASEL!H120</f>
        <v>1</v>
      </c>
      <c r="E127" s="138">
        <v>2</v>
      </c>
      <c r="F127" s="138">
        <v>1</v>
      </c>
      <c r="G127" s="139">
        <f t="shared" si="4"/>
        <v>1</v>
      </c>
      <c r="H127" s="140" t="str">
        <f>IF(AND(G127&gt;=$C$6,G127&lt;=$D$6),$B$6,IF(AND(G127&gt;=$C$5,G127&lt;=$D$5),$B$5,IF(AND(G127&gt;=$C$4,G127&lt;=$D$4),$B$4,IF(AND(G127&gt;=#REF!,G127&lt;=#REF!),#REF!))))</f>
        <v>Low</v>
      </c>
      <c r="I127" s="140"/>
      <c r="J127" s="141">
        <f t="shared" si="5"/>
        <v>1</v>
      </c>
      <c r="K127" s="140" t="str">
        <f>IF(AND(J127&gt;=$C$6,J127&lt;=$D$6),$B$6,IF(AND(J127&gt;=$C$5,J127&lt;=$D$5),$B$5,IF(AND(J127&gt;=$C$4,J127&lt;=$D$4),$B$4,IF(AND(J127&gt;=#REF!,J127&lt;=#REF!),#REF!))))</f>
        <v>Low</v>
      </c>
    </row>
    <row r="128" spans="2:11" s="132" customFormat="1" x14ac:dyDescent="0.25">
      <c r="B128" s="137" t="s">
        <v>196</v>
      </c>
      <c r="C128" s="138">
        <f>[11]FATF!D120</f>
        <v>1</v>
      </c>
      <c r="D128" s="138">
        <f>[11]BASEL!H121</f>
        <v>2</v>
      </c>
      <c r="E128" s="138">
        <v>1</v>
      </c>
      <c r="F128" s="138">
        <v>1</v>
      </c>
      <c r="G128" s="139">
        <f t="shared" si="4"/>
        <v>1.35</v>
      </c>
      <c r="H128" s="140" t="str">
        <f>IF(AND(G128&gt;=$C$6,G128&lt;=$D$6),$B$6,IF(AND(G128&gt;=$C$5,G128&lt;=$D$5),$B$5,IF(AND(G128&gt;=$C$4,G128&lt;=$D$4),$B$4,IF(AND(G128&gt;=#REF!,G128&lt;=#REF!),#REF!))))</f>
        <v>Medium</v>
      </c>
      <c r="I128" s="140"/>
      <c r="J128" s="141">
        <f t="shared" si="5"/>
        <v>1.35</v>
      </c>
      <c r="K128" s="140" t="str">
        <f>IF(AND(J128&gt;=$C$6,J128&lt;=$D$6),$B$6,IF(AND(J128&gt;=$C$5,J128&lt;=$D$5),$B$5,IF(AND(J128&gt;=$C$4,J128&lt;=$D$4),$B$4,IF(AND(J128&gt;=#REF!,J128&lt;=#REF!),#REF!))))</f>
        <v>Medium</v>
      </c>
    </row>
    <row r="129" spans="2:11" s="132" customFormat="1" x14ac:dyDescent="0.25">
      <c r="B129" s="137" t="s">
        <v>197</v>
      </c>
      <c r="C129" s="138">
        <f>[11]FATF!D121</f>
        <v>1</v>
      </c>
      <c r="D129" s="138">
        <f>[11]BASEL!H122</f>
        <v>2</v>
      </c>
      <c r="E129" s="138">
        <v>1</v>
      </c>
      <c r="F129" s="138">
        <v>1</v>
      </c>
      <c r="G129" s="139">
        <f t="shared" si="4"/>
        <v>1.35</v>
      </c>
      <c r="H129" s="140" t="str">
        <f>IF(AND(G129&gt;=$C$6,G129&lt;=$D$6),$B$6,IF(AND(G129&gt;=$C$5,G129&lt;=$D$5),$B$5,IF(AND(G129&gt;=$C$4,G129&lt;=$D$4),$B$4,IF(AND(G129&gt;=#REF!,G129&lt;=#REF!),#REF!))))</f>
        <v>Medium</v>
      </c>
      <c r="I129" s="140"/>
      <c r="J129" s="141">
        <f t="shared" si="5"/>
        <v>1.35</v>
      </c>
      <c r="K129" s="140" t="str">
        <f>IF(AND(J129&gt;=$C$6,J129&lt;=$D$6),$B$6,IF(AND(J129&gt;=$C$5,J129&lt;=$D$5),$B$5,IF(AND(J129&gt;=$C$4,J129&lt;=$D$4),$B$4,IF(AND(J129&gt;=#REF!,J129&lt;=#REF!),#REF!))))</f>
        <v>Medium</v>
      </c>
    </row>
    <row r="130" spans="2:11" s="132" customFormat="1" x14ac:dyDescent="0.25">
      <c r="B130" s="137" t="s">
        <v>198</v>
      </c>
      <c r="C130" s="138">
        <f>[11]FATF!D122</f>
        <v>1</v>
      </c>
      <c r="D130" s="138">
        <f>[11]BASEL!H123</f>
        <v>3</v>
      </c>
      <c r="E130" s="138">
        <v>1</v>
      </c>
      <c r="F130" s="138">
        <v>1</v>
      </c>
      <c r="G130" s="139">
        <f t="shared" si="4"/>
        <v>1.7</v>
      </c>
      <c r="H130" s="140" t="str">
        <f>IF(AND(G130&gt;=$C$6,G130&lt;=$D$6),$B$6,IF(AND(G130&gt;=$C$5,G130&lt;=$D$5),$B$5,IF(AND(G130&gt;=$C$4,G130&lt;=$D$4),$B$4,IF(AND(G130&gt;=#REF!,G130&lt;=#REF!),#REF!))))</f>
        <v>Medium</v>
      </c>
      <c r="I130" s="140" t="s">
        <v>1393</v>
      </c>
      <c r="J130" s="141">
        <f t="shared" si="5"/>
        <v>3</v>
      </c>
      <c r="K130" s="140" t="str">
        <f>IF(AND(J130&gt;=$C$6,J130&lt;=$D$6),$B$6,IF(AND(J130&gt;=$C$5,J130&lt;=$D$5),$B$5,IF(AND(J130&gt;=$C$4,J130&lt;=$D$4),$B$4,IF(AND(J130&gt;=#REF!,J130&lt;=#REF!),#REF!))))</f>
        <v>High</v>
      </c>
    </row>
    <row r="131" spans="2:11" s="132" customFormat="1" x14ac:dyDescent="0.25">
      <c r="B131" s="137" t="s">
        <v>199</v>
      </c>
      <c r="C131" s="138">
        <f>[11]FATF!D123</f>
        <v>1</v>
      </c>
      <c r="D131" s="138">
        <f>[11]BASEL!H124</f>
        <v>2</v>
      </c>
      <c r="E131" s="138">
        <v>1</v>
      </c>
      <c r="F131" s="138">
        <v>1</v>
      </c>
      <c r="G131" s="139">
        <f t="shared" si="4"/>
        <v>1.35</v>
      </c>
      <c r="H131" s="140" t="str">
        <f>IF(AND(G131&gt;=$C$6,G131&lt;=$D$6),$B$6,IF(AND(G131&gt;=$C$5,G131&lt;=$D$5),$B$5,IF(AND(G131&gt;=$C$4,G131&lt;=$D$4),$B$4,IF(AND(G131&gt;=#REF!,G131&lt;=#REF!),#REF!))))</f>
        <v>Medium</v>
      </c>
      <c r="I131" s="140"/>
      <c r="J131" s="141">
        <f t="shared" si="5"/>
        <v>1.35</v>
      </c>
      <c r="K131" s="140" t="str">
        <f>IF(AND(J131&gt;=$C$6,J131&lt;=$D$6),$B$6,IF(AND(J131&gt;=$C$5,J131&lt;=$D$5),$B$5,IF(AND(J131&gt;=$C$4,J131&lt;=$D$4),$B$4,IF(AND(J131&gt;=#REF!,J131&lt;=#REF!),#REF!))))</f>
        <v>Medium</v>
      </c>
    </row>
    <row r="132" spans="2:11" s="132" customFormat="1" x14ac:dyDescent="0.25">
      <c r="B132" s="137" t="s">
        <v>200</v>
      </c>
      <c r="C132" s="138">
        <f>[11]FATF!D124</f>
        <v>1</v>
      </c>
      <c r="D132" s="138">
        <f>[11]BASEL!H125</f>
        <v>2</v>
      </c>
      <c r="E132" s="138">
        <v>2</v>
      </c>
      <c r="F132" s="138">
        <v>3</v>
      </c>
      <c r="G132" s="139">
        <f t="shared" si="4"/>
        <v>1.75</v>
      </c>
      <c r="H132" s="140" t="str">
        <f>IF(AND(G132&gt;=$C$6,G132&lt;=$D$6),$B$6,IF(AND(G132&gt;=$C$5,G132&lt;=$D$5),$B$5,IF(AND(G132&gt;=$C$4,G132&lt;=$D$4),$B$4,IF(AND(G132&gt;=#REF!,G132&lt;=#REF!),#REF!))))</f>
        <v>Medium</v>
      </c>
      <c r="I132" s="140" t="s">
        <v>1393</v>
      </c>
      <c r="J132" s="141">
        <f t="shared" si="5"/>
        <v>3</v>
      </c>
      <c r="K132" s="140" t="str">
        <f>IF(AND(J132&gt;=$C$6,J132&lt;=$D$6),$B$6,IF(AND(J132&gt;=$C$5,J132&lt;=$D$5),$B$5,IF(AND(J132&gt;=$C$4,J132&lt;=$D$4),$B$4,IF(AND(J132&gt;=#REF!,J132&lt;=#REF!),#REF!))))</f>
        <v>High</v>
      </c>
    </row>
    <row r="133" spans="2:11" s="132" customFormat="1" x14ac:dyDescent="0.25">
      <c r="B133" s="137" t="s">
        <v>201</v>
      </c>
      <c r="C133" s="138">
        <f>[11]FATF!D125</f>
        <v>1</v>
      </c>
      <c r="D133" s="138">
        <f>[11]BASEL!H126</f>
        <v>2</v>
      </c>
      <c r="E133" s="138">
        <v>1</v>
      </c>
      <c r="F133" s="138">
        <v>1</v>
      </c>
      <c r="G133" s="139">
        <f t="shared" si="4"/>
        <v>1.35</v>
      </c>
      <c r="H133" s="140" t="str">
        <f>IF(AND(G133&gt;=$C$6,G133&lt;=$D$6),$B$6,IF(AND(G133&gt;=$C$5,G133&lt;=$D$5),$B$5,IF(AND(G133&gt;=$C$4,G133&lt;=$D$4),$B$4,IF(AND(G133&gt;=#REF!,G133&lt;=#REF!),#REF!))))</f>
        <v>Medium</v>
      </c>
      <c r="I133" s="140"/>
      <c r="J133" s="141">
        <f t="shared" si="5"/>
        <v>1.35</v>
      </c>
      <c r="K133" s="140" t="str">
        <f>IF(AND(J133&gt;=$C$6,J133&lt;=$D$6),$B$6,IF(AND(J133&gt;=$C$5,J133&lt;=$D$5),$B$5,IF(AND(J133&gt;=$C$4,J133&lt;=$D$4),$B$4,IF(AND(J133&gt;=#REF!,J133&lt;=#REF!),#REF!))))</f>
        <v>Medium</v>
      </c>
    </row>
    <row r="134" spans="2:11" s="132" customFormat="1" x14ac:dyDescent="0.25">
      <c r="B134" s="137" t="s">
        <v>202</v>
      </c>
      <c r="C134" s="138">
        <f>[11]FATF!D126</f>
        <v>1</v>
      </c>
      <c r="D134" s="138">
        <f>[11]BASEL!H127</f>
        <v>3</v>
      </c>
      <c r="E134" s="138">
        <v>1</v>
      </c>
      <c r="F134" s="138">
        <v>1</v>
      </c>
      <c r="G134" s="139">
        <f t="shared" si="4"/>
        <v>1.7</v>
      </c>
      <c r="H134" s="140" t="str">
        <f>IF(AND(G134&gt;=$C$6,G134&lt;=$D$6),$B$6,IF(AND(G134&gt;=$C$5,G134&lt;=$D$5),$B$5,IF(AND(G134&gt;=$C$4,G134&lt;=$D$4),$B$4,IF(AND(G134&gt;=#REF!,G134&lt;=#REF!),#REF!))))</f>
        <v>Medium</v>
      </c>
      <c r="I134" s="140"/>
      <c r="J134" s="141">
        <f t="shared" si="5"/>
        <v>1.7</v>
      </c>
      <c r="K134" s="140" t="str">
        <f>IF(AND(J134&gt;=$C$6,J134&lt;=$D$6),$B$6,IF(AND(J134&gt;=$C$5,J134&lt;=$D$5),$B$5,IF(AND(J134&gt;=$C$4,J134&lt;=$D$4),$B$4,IF(AND(J134&gt;=#REF!,J134&lt;=#REF!),#REF!))))</f>
        <v>Medium</v>
      </c>
    </row>
    <row r="135" spans="2:11" s="132" customFormat="1" x14ac:dyDescent="0.25">
      <c r="B135" s="137" t="s">
        <v>203</v>
      </c>
      <c r="C135" s="138">
        <f>[11]FATF!D127</f>
        <v>1</v>
      </c>
      <c r="D135" s="138">
        <f>[11]BASEL!H128</f>
        <v>3</v>
      </c>
      <c r="E135" s="138">
        <v>2</v>
      </c>
      <c r="F135" s="138">
        <v>3</v>
      </c>
      <c r="G135" s="139">
        <f t="shared" si="4"/>
        <v>2.0999999999999996</v>
      </c>
      <c r="H135" s="140" t="str">
        <f>IF(AND(G135&gt;=$C$6,G135&lt;=$D$6),$B$6,IF(AND(G135&gt;=$C$5,G135&lt;=$D$5),$B$5,IF(AND(G135&gt;=$C$4,G135&lt;=$D$4),$B$4,IF(AND(G135&gt;=#REF!,G135&lt;=#REF!),#REF!))))</f>
        <v>High</v>
      </c>
      <c r="I135" s="140"/>
      <c r="J135" s="141">
        <f t="shared" si="5"/>
        <v>2.0999999999999996</v>
      </c>
      <c r="K135" s="140" t="str">
        <f>IF(AND(J135&gt;=$C$6,J135&lt;=$D$6),$B$6,IF(AND(J135&gt;=$C$5,J135&lt;=$D$5),$B$5,IF(AND(J135&gt;=$C$4,J135&lt;=$D$4),$B$4,IF(AND(J135&gt;=#REF!,J135&lt;=#REF!),#REF!))))</f>
        <v>High</v>
      </c>
    </row>
    <row r="136" spans="2:11" s="132" customFormat="1" x14ac:dyDescent="0.25">
      <c r="B136" s="137" t="s">
        <v>204</v>
      </c>
      <c r="C136" s="138">
        <f>[11]FATF!D128</f>
        <v>1</v>
      </c>
      <c r="D136" s="138">
        <f>[11]BASEL!H129</f>
        <v>2</v>
      </c>
      <c r="E136" s="138">
        <v>1</v>
      </c>
      <c r="F136" s="138">
        <v>1</v>
      </c>
      <c r="G136" s="139">
        <f t="shared" si="4"/>
        <v>1.35</v>
      </c>
      <c r="H136" s="140" t="str">
        <f>IF(AND(G136&gt;=$C$6,G136&lt;=$D$6),$B$6,IF(AND(G136&gt;=$C$5,G136&lt;=$D$5),$B$5,IF(AND(G136&gt;=$C$4,G136&lt;=$D$4),$B$4,IF(AND(G136&gt;=#REF!,G136&lt;=#REF!),#REF!))))</f>
        <v>Medium</v>
      </c>
      <c r="I136" s="140"/>
      <c r="J136" s="141">
        <f t="shared" si="5"/>
        <v>1.35</v>
      </c>
      <c r="K136" s="140" t="str">
        <f>IF(AND(J136&gt;=$C$6,J136&lt;=$D$6),$B$6,IF(AND(J136&gt;=$C$5,J136&lt;=$D$5),$B$5,IF(AND(J136&gt;=$C$4,J136&lt;=$D$4),$B$4,IF(AND(J136&gt;=#REF!,J136&lt;=#REF!),#REF!))))</f>
        <v>Medium</v>
      </c>
    </row>
    <row r="137" spans="2:11" s="132" customFormat="1" x14ac:dyDescent="0.25">
      <c r="B137" s="137" t="s">
        <v>205</v>
      </c>
      <c r="C137" s="138">
        <f>[11]FATF!D129</f>
        <v>1</v>
      </c>
      <c r="D137" s="138">
        <f>[11]BASEL!H130</f>
        <v>1</v>
      </c>
      <c r="E137" s="138">
        <v>1</v>
      </c>
      <c r="F137" s="138">
        <v>1</v>
      </c>
      <c r="G137" s="139">
        <f t="shared" si="4"/>
        <v>1</v>
      </c>
      <c r="H137" s="140" t="str">
        <f>IF(AND(G137&gt;=$C$6,G137&lt;=$D$6),$B$6,IF(AND(G137&gt;=$C$5,G137&lt;=$D$5),$B$5,IF(AND(G137&gt;=$C$4,G137&lt;=$D$4),$B$4,IF(AND(G137&gt;=#REF!,G137&lt;=#REF!),#REF!))))</f>
        <v>Low</v>
      </c>
      <c r="I137" s="140"/>
      <c r="J137" s="141">
        <f t="shared" si="5"/>
        <v>1</v>
      </c>
      <c r="K137" s="140" t="str">
        <f>IF(AND(J137&gt;=$C$6,J137&lt;=$D$6),$B$6,IF(AND(J137&gt;=$C$5,J137&lt;=$D$5),$B$5,IF(AND(J137&gt;=$C$4,J137&lt;=$D$4),$B$4,IF(AND(J137&gt;=#REF!,J137&lt;=#REF!),#REF!))))</f>
        <v>Low</v>
      </c>
    </row>
    <row r="138" spans="2:11" s="132" customFormat="1" x14ac:dyDescent="0.25">
      <c r="B138" s="137" t="s">
        <v>206</v>
      </c>
      <c r="C138" s="138">
        <f>[11]FATF!D130</f>
        <v>1</v>
      </c>
      <c r="D138" s="138">
        <f>[11]BASEL!H131</f>
        <v>1</v>
      </c>
      <c r="E138" s="138">
        <v>1</v>
      </c>
      <c r="F138" s="138">
        <v>1</v>
      </c>
      <c r="G138" s="139">
        <f t="shared" si="4"/>
        <v>1</v>
      </c>
      <c r="H138" s="140" t="str">
        <f>IF(AND(G138&gt;=$C$6,G138&lt;=$D$6),$B$6,IF(AND(G138&gt;=$C$5,G138&lt;=$D$5),$B$5,IF(AND(G138&gt;=$C$4,G138&lt;=$D$4),$B$4,IF(AND(G138&gt;=#REF!,G138&lt;=#REF!),#REF!))))</f>
        <v>Low</v>
      </c>
      <c r="I138" s="140"/>
      <c r="J138" s="141">
        <f t="shared" si="5"/>
        <v>1</v>
      </c>
      <c r="K138" s="140" t="str">
        <f>IF(AND(J138&gt;=$C$6,J138&lt;=$D$6),$B$6,IF(AND(J138&gt;=$C$5,J138&lt;=$D$5),$B$5,IF(AND(J138&gt;=$C$4,J138&lt;=$D$4),$B$4,IF(AND(J138&gt;=#REF!,J138&lt;=#REF!),#REF!))))</f>
        <v>Low</v>
      </c>
    </row>
    <row r="139" spans="2:11" s="132" customFormat="1" x14ac:dyDescent="0.25">
      <c r="B139" s="165" t="s">
        <v>1368</v>
      </c>
      <c r="C139" s="138">
        <f>[11]FATF!D131</f>
        <v>1</v>
      </c>
      <c r="D139" s="142">
        <v>2</v>
      </c>
      <c r="E139" s="138">
        <v>1</v>
      </c>
      <c r="F139" s="138">
        <v>1</v>
      </c>
      <c r="G139" s="139">
        <f t="shared" si="4"/>
        <v>1.35</v>
      </c>
      <c r="H139" s="140" t="str">
        <f>IF(AND(G139&gt;=$C$6,G139&lt;=$D$6),$B$6,IF(AND(G139&gt;=$C$5,G139&lt;=$D$5),$B$5,IF(AND(G139&gt;=$C$4,G139&lt;=$D$4),$B$4,IF(AND(G139&gt;=#REF!,G139&lt;=#REF!),#REF!))))</f>
        <v>Medium</v>
      </c>
      <c r="I139" s="140"/>
      <c r="J139" s="141">
        <f t="shared" si="5"/>
        <v>1.35</v>
      </c>
      <c r="K139" s="140" t="str">
        <f>IF(AND(J139&gt;=$C$6,J139&lt;=$D$6),$B$6,IF(AND(J139&gt;=$C$5,J139&lt;=$D$5),$B$5,IF(AND(J139&gt;=$C$4,J139&lt;=$D$4),$B$4,IF(AND(J139&gt;=#REF!,J139&lt;=#REF!),#REF!))))</f>
        <v>Medium</v>
      </c>
    </row>
    <row r="140" spans="2:11" s="132" customFormat="1" x14ac:dyDescent="0.25">
      <c r="B140" s="137" t="s">
        <v>207</v>
      </c>
      <c r="C140" s="138">
        <f>[11]FATF!D132</f>
        <v>1</v>
      </c>
      <c r="D140" s="138">
        <f>[11]BASEL!H133</f>
        <v>2</v>
      </c>
      <c r="E140" s="138">
        <v>1</v>
      </c>
      <c r="F140" s="138">
        <v>1</v>
      </c>
      <c r="G140" s="139">
        <f t="shared" ref="G140:G203" si="6">C140*$C$9+D140*$D$9+E140*$E$9+F140*$F$9</f>
        <v>1.35</v>
      </c>
      <c r="H140" s="140" t="str">
        <f>IF(AND(G140&gt;=$C$6,G140&lt;=$D$6),$B$6,IF(AND(G140&gt;=$C$5,G140&lt;=$D$5),$B$5,IF(AND(G140&gt;=$C$4,G140&lt;=$D$4),$B$4,IF(AND(G140&gt;=#REF!,G140&lt;=#REF!),#REF!))))</f>
        <v>Medium</v>
      </c>
      <c r="I140" s="140"/>
      <c r="J140" s="141">
        <f t="shared" ref="J140:J203" si="7">IF(OR(I140="Prohibited", I140="FATF Grey List"), IF(I140="Prohibited", 4, 3), G140)</f>
        <v>1.35</v>
      </c>
      <c r="K140" s="140" t="str">
        <f>IF(AND(J140&gt;=$C$6,J140&lt;=$D$6),$B$6,IF(AND(J140&gt;=$C$5,J140&lt;=$D$5),$B$5,IF(AND(J140&gt;=$C$4,J140&lt;=$D$4),$B$4,IF(AND(J140&gt;=#REF!,J140&lt;=#REF!),#REF!))))</f>
        <v>Medium</v>
      </c>
    </row>
    <row r="141" spans="2:11" s="132" customFormat="1" x14ac:dyDescent="0.25">
      <c r="B141" s="137" t="s">
        <v>208</v>
      </c>
      <c r="C141" s="138">
        <f>[11]FATF!D133</f>
        <v>1</v>
      </c>
      <c r="D141" s="138">
        <f>[11]BASEL!H134</f>
        <v>2</v>
      </c>
      <c r="E141" s="138">
        <v>2</v>
      </c>
      <c r="F141" s="138">
        <v>1</v>
      </c>
      <c r="G141" s="139">
        <f t="shared" si="6"/>
        <v>1.6500000000000001</v>
      </c>
      <c r="H141" s="140" t="str">
        <f>IF(AND(G141&gt;=$C$6,G141&lt;=$D$6),$B$6,IF(AND(G141&gt;=$C$5,G141&lt;=$D$5),$B$5,IF(AND(G141&gt;=$C$4,G141&lt;=$D$4),$B$4,IF(AND(G141&gt;=#REF!,G141&lt;=#REF!),#REF!))))</f>
        <v>Medium</v>
      </c>
      <c r="I141" s="140"/>
      <c r="J141" s="141">
        <f t="shared" si="7"/>
        <v>1.6500000000000001</v>
      </c>
      <c r="K141" s="140" t="str">
        <f>IF(AND(J141&gt;=$C$6,J141&lt;=$D$6),$B$6,IF(AND(J141&gt;=$C$5,J141&lt;=$D$5),$B$5,IF(AND(J141&gt;=$C$4,J141&lt;=$D$4),$B$4,IF(AND(J141&gt;=#REF!,J141&lt;=#REF!),#REF!))))</f>
        <v>Medium</v>
      </c>
    </row>
    <row r="142" spans="2:11" s="132" customFormat="1" x14ac:dyDescent="0.25">
      <c r="B142" s="137" t="s">
        <v>33</v>
      </c>
      <c r="C142" s="138">
        <f>[11]FATF!D134</f>
        <v>1</v>
      </c>
      <c r="D142" s="138">
        <f>[11]BASEL!H135</f>
        <v>3</v>
      </c>
      <c r="E142" s="138">
        <v>1</v>
      </c>
      <c r="F142" s="138">
        <v>1</v>
      </c>
      <c r="G142" s="139">
        <f t="shared" si="6"/>
        <v>1.7</v>
      </c>
      <c r="H142" s="140" t="str">
        <f>IF(AND(G142&gt;=$C$6,G142&lt;=$D$6),$B$6,IF(AND(G142&gt;=$C$5,G142&lt;=$D$5),$B$5,IF(AND(G142&gt;=$C$4,G142&lt;=$D$4),$B$4,IF(AND(G142&gt;=#REF!,G142&lt;=#REF!),#REF!))))</f>
        <v>Medium</v>
      </c>
      <c r="I142" s="140"/>
      <c r="J142" s="141">
        <f t="shared" si="7"/>
        <v>1.7</v>
      </c>
      <c r="K142" s="140" t="str">
        <f>IF(AND(J142&gt;=$C$6,J142&lt;=$D$6),$B$6,IF(AND(J142&gt;=$C$5,J142&lt;=$D$5),$B$5,IF(AND(J142&gt;=$C$4,J142&lt;=$D$4),$B$4,IF(AND(J142&gt;=#REF!,J142&lt;=#REF!),#REF!))))</f>
        <v>Medium</v>
      </c>
    </row>
    <row r="143" spans="2:11" s="132" customFormat="1" x14ac:dyDescent="0.25">
      <c r="B143" s="137" t="s">
        <v>34</v>
      </c>
      <c r="C143" s="138">
        <f>[11]FATF!D135</f>
        <v>1</v>
      </c>
      <c r="D143" s="138">
        <f>[11]BASEL!H136</f>
        <v>2</v>
      </c>
      <c r="E143" s="138">
        <v>1</v>
      </c>
      <c r="F143" s="138">
        <v>1</v>
      </c>
      <c r="G143" s="139">
        <f t="shared" si="6"/>
        <v>1.35</v>
      </c>
      <c r="H143" s="140" t="str">
        <f>IF(AND(G143&gt;=$C$6,G143&lt;=$D$6),$B$6,IF(AND(G143&gt;=$C$5,G143&lt;=$D$5),$B$5,IF(AND(G143&gt;=$C$4,G143&lt;=$D$4),$B$4,IF(AND(G143&gt;=#REF!,G143&lt;=#REF!),#REF!))))</f>
        <v>Medium</v>
      </c>
      <c r="I143" s="140"/>
      <c r="J143" s="141">
        <f t="shared" si="7"/>
        <v>1.35</v>
      </c>
      <c r="K143" s="140" t="str">
        <f>IF(AND(J143&gt;=$C$6,J143&lt;=$D$6),$B$6,IF(AND(J143&gt;=$C$5,J143&lt;=$D$5),$B$5,IF(AND(J143&gt;=$C$4,J143&lt;=$D$4),$B$4,IF(AND(J143&gt;=#REF!,J143&lt;=#REF!),#REF!))))</f>
        <v>Medium</v>
      </c>
    </row>
    <row r="144" spans="2:11" s="132" customFormat="1" x14ac:dyDescent="0.25">
      <c r="B144" s="137" t="s">
        <v>35</v>
      </c>
      <c r="C144" s="138">
        <f>[11]FATF!D136</f>
        <v>1</v>
      </c>
      <c r="D144" s="138">
        <f>[11]BASEL!H137</f>
        <v>2</v>
      </c>
      <c r="E144" s="138">
        <v>1</v>
      </c>
      <c r="F144" s="138">
        <v>3</v>
      </c>
      <c r="G144" s="139">
        <f t="shared" si="6"/>
        <v>1.4500000000000002</v>
      </c>
      <c r="H144" s="140" t="str">
        <f>IF(AND(G144&gt;=$C$6,G144&lt;=$D$6),$B$6,IF(AND(G144&gt;=$C$5,G144&lt;=$D$5),$B$5,IF(AND(G144&gt;=$C$4,G144&lt;=$D$4),$B$4,IF(AND(G144&gt;=#REF!,G144&lt;=#REF!),#REF!))))</f>
        <v>Medium</v>
      </c>
      <c r="I144" s="140"/>
      <c r="J144" s="141">
        <f t="shared" si="7"/>
        <v>1.4500000000000002</v>
      </c>
      <c r="K144" s="140" t="str">
        <f>IF(AND(J144&gt;=$C$6,J144&lt;=$D$6),$B$6,IF(AND(J144&gt;=$C$5,J144&lt;=$D$5),$B$5,IF(AND(J144&gt;=$C$4,J144&lt;=$D$4),$B$4,IF(AND(J144&gt;=#REF!,J144&lt;=#REF!),#REF!))))</f>
        <v>Medium</v>
      </c>
    </row>
    <row r="145" spans="2:11" s="132" customFormat="1" x14ac:dyDescent="0.25">
      <c r="B145" s="137" t="s">
        <v>36</v>
      </c>
      <c r="C145" s="138">
        <f>[11]FATF!D137</f>
        <v>1</v>
      </c>
      <c r="D145" s="138">
        <f>[11]BASEL!H138</f>
        <v>2</v>
      </c>
      <c r="E145" s="138">
        <v>1</v>
      </c>
      <c r="F145" s="138">
        <v>1</v>
      </c>
      <c r="G145" s="139">
        <f t="shared" si="6"/>
        <v>1.35</v>
      </c>
      <c r="H145" s="140" t="str">
        <f>IF(AND(G145&gt;=$C$6,G145&lt;=$D$6),$B$6,IF(AND(G145&gt;=$C$5,G145&lt;=$D$5),$B$5,IF(AND(G145&gt;=$C$4,G145&lt;=$D$4),$B$4,IF(AND(G145&gt;=#REF!,G145&lt;=#REF!),#REF!))))</f>
        <v>Medium</v>
      </c>
      <c r="I145" s="140"/>
      <c r="J145" s="141">
        <f t="shared" si="7"/>
        <v>1.35</v>
      </c>
      <c r="K145" s="140" t="str">
        <f>IF(AND(J145&gt;=$C$6,J145&lt;=$D$6),$B$6,IF(AND(J145&gt;=$C$5,J145&lt;=$D$5),$B$5,IF(AND(J145&gt;=$C$4,J145&lt;=$D$4),$B$4,IF(AND(J145&gt;=#REF!,J145&lt;=#REF!),#REF!))))</f>
        <v>Medium</v>
      </c>
    </row>
    <row r="146" spans="2:11" s="132" customFormat="1" x14ac:dyDescent="0.25">
      <c r="B146" s="137" t="s">
        <v>37</v>
      </c>
      <c r="C146" s="138">
        <f>[11]FATF!D138</f>
        <v>1</v>
      </c>
      <c r="D146" s="138">
        <f>[11]BASEL!H139</f>
        <v>3</v>
      </c>
      <c r="E146" s="138">
        <v>2</v>
      </c>
      <c r="F146" s="138">
        <v>3</v>
      </c>
      <c r="G146" s="139">
        <f t="shared" si="6"/>
        <v>2.0999999999999996</v>
      </c>
      <c r="H146" s="140" t="str">
        <f>IF(AND(G146&gt;=$C$6,G146&lt;=$D$6),$B$6,IF(AND(G146&gt;=$C$5,G146&lt;=$D$5),$B$5,IF(AND(G146&gt;=$C$4,G146&lt;=$D$4),$B$4,IF(AND(G146&gt;=#REF!,G146&lt;=#REF!),#REF!))))</f>
        <v>High</v>
      </c>
      <c r="I146" s="140" t="s">
        <v>1393</v>
      </c>
      <c r="J146" s="141">
        <f t="shared" si="7"/>
        <v>3</v>
      </c>
      <c r="K146" s="140" t="str">
        <f>IF(AND(J146&gt;=$C$6,J146&lt;=$D$6),$B$6,IF(AND(J146&gt;=$C$5,J146&lt;=$D$5),$B$5,IF(AND(J146&gt;=$C$4,J146&lt;=$D$4),$B$4,IF(AND(J146&gt;=#REF!,J146&lt;=#REF!),#REF!))))</f>
        <v>High</v>
      </c>
    </row>
    <row r="147" spans="2:11" s="132" customFormat="1" x14ac:dyDescent="0.25">
      <c r="B147" s="137" t="s">
        <v>38</v>
      </c>
      <c r="C147" s="138">
        <f>[11]FATF!D139</f>
        <v>1</v>
      </c>
      <c r="D147" s="138">
        <f>[11]BASEL!H140</f>
        <v>2</v>
      </c>
      <c r="E147" s="138">
        <v>1</v>
      </c>
      <c r="F147" s="138">
        <v>1</v>
      </c>
      <c r="G147" s="139">
        <f t="shared" si="6"/>
        <v>1.35</v>
      </c>
      <c r="H147" s="140" t="str">
        <f>IF(AND(G147&gt;=$C$6,G147&lt;=$D$6),$B$6,IF(AND(G147&gt;=$C$5,G147&lt;=$D$5),$B$5,IF(AND(G147&gt;=$C$4,G147&lt;=$D$4),$B$4,IF(AND(G147&gt;=#REF!,G147&lt;=#REF!),#REF!))))</f>
        <v>Medium</v>
      </c>
      <c r="I147" s="140"/>
      <c r="J147" s="141">
        <f t="shared" si="7"/>
        <v>1.35</v>
      </c>
      <c r="K147" s="140" t="str">
        <f>IF(AND(J147&gt;=$C$6,J147&lt;=$D$6),$B$6,IF(AND(J147&gt;=$C$5,J147&lt;=$D$5),$B$5,IF(AND(J147&gt;=$C$4,J147&lt;=$D$4),$B$4,IF(AND(J147&gt;=#REF!,J147&lt;=#REF!),#REF!))))</f>
        <v>Medium</v>
      </c>
    </row>
    <row r="148" spans="2:11" s="132" customFormat="1" x14ac:dyDescent="0.25">
      <c r="B148" s="137" t="s">
        <v>209</v>
      </c>
      <c r="C148" s="138">
        <f>[11]FATF!D140</f>
        <v>1</v>
      </c>
      <c r="D148" s="138">
        <f>[11]BASEL!H141</f>
        <v>2</v>
      </c>
      <c r="E148" s="138">
        <v>1</v>
      </c>
      <c r="F148" s="138">
        <v>1</v>
      </c>
      <c r="G148" s="139">
        <f t="shared" si="6"/>
        <v>1.35</v>
      </c>
      <c r="H148" s="140" t="str">
        <f>IF(AND(G148&gt;=$C$6,G148&lt;=$D$6),$B$6,IF(AND(G148&gt;=$C$5,G148&lt;=$D$5),$B$5,IF(AND(G148&gt;=$C$4,G148&lt;=$D$4),$B$4,IF(AND(G148&gt;=#REF!,G148&lt;=#REF!),#REF!))))</f>
        <v>Medium</v>
      </c>
      <c r="I148" s="140"/>
      <c r="J148" s="141">
        <f t="shared" si="7"/>
        <v>1.35</v>
      </c>
      <c r="K148" s="140" t="str">
        <f>IF(AND(J148&gt;=$C$6,J148&lt;=$D$6),$B$6,IF(AND(J148&gt;=$C$5,J148&lt;=$D$5),$B$5,IF(AND(J148&gt;=$C$4,J148&lt;=$D$4),$B$4,IF(AND(J148&gt;=#REF!,J148&lt;=#REF!),#REF!))))</f>
        <v>Medium</v>
      </c>
    </row>
    <row r="149" spans="2:11" s="132" customFormat="1" x14ac:dyDescent="0.25">
      <c r="B149" s="137" t="s">
        <v>1369</v>
      </c>
      <c r="C149" s="142">
        <v>1</v>
      </c>
      <c r="D149" s="142">
        <v>1</v>
      </c>
      <c r="E149" s="138">
        <v>1</v>
      </c>
      <c r="F149" s="138">
        <v>1</v>
      </c>
      <c r="G149" s="139">
        <f t="shared" si="6"/>
        <v>1</v>
      </c>
      <c r="H149" s="140" t="str">
        <f>IF(AND(G149&gt;=$C$6,G149&lt;=$D$6),$B$6,IF(AND(G149&gt;=$C$5,G149&lt;=$D$5),$B$5,IF(AND(G149&gt;=$C$4,G149&lt;=$D$4),$B$4,IF(AND(G149&gt;=#REF!,G149&lt;=#REF!),#REF!))))</f>
        <v>Low</v>
      </c>
      <c r="I149" s="140"/>
      <c r="J149" s="141">
        <f t="shared" si="7"/>
        <v>1</v>
      </c>
      <c r="K149" s="140" t="str">
        <f>IF(AND(J149&gt;=$C$6,J149&lt;=$D$6),$B$6,IF(AND(J149&gt;=$C$5,J149&lt;=$D$5),$B$5,IF(AND(J149&gt;=$C$4,J149&lt;=$D$4),$B$4,IF(AND(J149&gt;=#REF!,J149&lt;=#REF!),#REF!))))</f>
        <v>Low</v>
      </c>
    </row>
    <row r="150" spans="2:11" x14ac:dyDescent="0.25">
      <c r="B150" s="137" t="s">
        <v>39</v>
      </c>
      <c r="C150" s="138">
        <f>[11]FATF!D142</f>
        <v>1</v>
      </c>
      <c r="D150" s="138">
        <f>[11]BASEL!H143</f>
        <v>2</v>
      </c>
      <c r="E150" s="138">
        <v>1</v>
      </c>
      <c r="F150" s="138">
        <v>3</v>
      </c>
      <c r="G150" s="139">
        <f t="shared" si="6"/>
        <v>1.4500000000000002</v>
      </c>
      <c r="H150" s="140" t="str">
        <f>IF(AND(G150&gt;=$C$6,G150&lt;=$D$6),$B$6,IF(AND(G150&gt;=$C$5,G150&lt;=$D$5),$B$5,IF(AND(G150&gt;=$C$4,G150&lt;=$D$4),$B$4,IF(AND(G150&gt;=#REF!,G150&lt;=#REF!),#REF!))))</f>
        <v>Medium</v>
      </c>
      <c r="I150" s="140"/>
      <c r="J150" s="141">
        <f t="shared" si="7"/>
        <v>1.4500000000000002</v>
      </c>
      <c r="K150" s="140" t="str">
        <f>IF(AND(J150&gt;=$C$6,J150&lt;=$D$6),$B$6,IF(AND(J150&gt;=$C$5,J150&lt;=$D$5),$B$5,IF(AND(J150&gt;=$C$4,J150&lt;=$D$4),$B$4,IF(AND(J150&gt;=#REF!,J150&lt;=#REF!),#REF!))))</f>
        <v>Medium</v>
      </c>
    </row>
    <row r="151" spans="2:11" s="132" customFormat="1" x14ac:dyDescent="0.25">
      <c r="B151" s="137" t="s">
        <v>210</v>
      </c>
      <c r="C151" s="138">
        <f>[11]FATF!D143</f>
        <v>1</v>
      </c>
      <c r="D151" s="138">
        <f>[11]BASEL!H144</f>
        <v>2</v>
      </c>
      <c r="E151" s="138">
        <v>1</v>
      </c>
      <c r="F151" s="138">
        <v>1</v>
      </c>
      <c r="G151" s="139">
        <f t="shared" si="6"/>
        <v>1.35</v>
      </c>
      <c r="H151" s="140" t="str">
        <f>IF(AND(G151&gt;=$C$6,G151&lt;=$D$6),$B$6,IF(AND(G151&gt;=$C$5,G151&lt;=$D$5),$B$5,IF(AND(G151&gt;=$C$4,G151&lt;=$D$4),$B$4,IF(AND(G151&gt;=#REF!,G151&lt;=#REF!),#REF!))))</f>
        <v>Medium</v>
      </c>
      <c r="I151" s="140"/>
      <c r="J151" s="141">
        <f t="shared" si="7"/>
        <v>1.35</v>
      </c>
      <c r="K151" s="140" t="str">
        <f>IF(AND(J151&gt;=$C$6,J151&lt;=$D$6),$B$6,IF(AND(J151&gt;=$C$5,J151&lt;=$D$5),$B$5,IF(AND(J151&gt;=$C$4,J151&lt;=$D$4),$B$4,IF(AND(J151&gt;=#REF!,J151&lt;=#REF!),#REF!))))</f>
        <v>Medium</v>
      </c>
    </row>
    <row r="152" spans="2:11" s="132" customFormat="1" x14ac:dyDescent="0.25">
      <c r="B152" s="137" t="s">
        <v>1370</v>
      </c>
      <c r="C152" s="138">
        <f>[11]FATF!D144</f>
        <v>1</v>
      </c>
      <c r="D152" s="142">
        <v>1</v>
      </c>
      <c r="E152" s="138">
        <v>1</v>
      </c>
      <c r="F152" s="138">
        <v>1</v>
      </c>
      <c r="G152" s="139">
        <f t="shared" si="6"/>
        <v>1</v>
      </c>
      <c r="H152" s="140" t="str">
        <f>IF(AND(G152&gt;=$C$6,G152&lt;=$D$6),$B$6,IF(AND(G152&gt;=$C$5,G152&lt;=$D$5),$B$5,IF(AND(G152&gt;=$C$4,G152&lt;=$D$4),$B$4,IF(AND(G152&gt;=#REF!,G152&lt;=#REF!),#REF!))))</f>
        <v>Low</v>
      </c>
      <c r="I152" s="140"/>
      <c r="J152" s="141">
        <f t="shared" si="7"/>
        <v>1</v>
      </c>
      <c r="K152" s="140" t="str">
        <f>IF(AND(J152&gt;=$C$6,J152&lt;=$D$6),$B$6,IF(AND(J152&gt;=$C$5,J152&lt;=$D$5),$B$5,IF(AND(J152&gt;=$C$4,J152&lt;=$D$4),$B$4,IF(AND(J152&gt;=#REF!,J152&lt;=#REF!),#REF!))))</f>
        <v>Low</v>
      </c>
    </row>
    <row r="153" spans="2:11" s="132" customFormat="1" x14ac:dyDescent="0.25">
      <c r="B153" s="137" t="s">
        <v>40</v>
      </c>
      <c r="C153" s="138">
        <f>[11]FATF!D145</f>
        <v>1</v>
      </c>
      <c r="D153" s="138">
        <f>[11]BASEL!H146</f>
        <v>2</v>
      </c>
      <c r="E153" s="138">
        <v>1</v>
      </c>
      <c r="F153" s="138">
        <v>1</v>
      </c>
      <c r="G153" s="139">
        <f t="shared" si="6"/>
        <v>1.35</v>
      </c>
      <c r="H153" s="140" t="str">
        <f>IF(AND(G153&gt;=$C$6,G153&lt;=$D$6),$B$6,IF(AND(G153&gt;=$C$5,G153&lt;=$D$5),$B$5,IF(AND(G153&gt;=$C$4,G153&lt;=$D$4),$B$4,IF(AND(G153&gt;=#REF!,G153&lt;=#REF!),#REF!))))</f>
        <v>Medium</v>
      </c>
      <c r="I153" s="140"/>
      <c r="J153" s="141">
        <f t="shared" si="7"/>
        <v>1.35</v>
      </c>
      <c r="K153" s="140" t="str">
        <f>IF(AND(J153&gt;=$C$6,J153&lt;=$D$6),$B$6,IF(AND(J153&gt;=$C$5,J153&lt;=$D$5),$B$5,IF(AND(J153&gt;=$C$4,J153&lt;=$D$4),$B$4,IF(AND(J153&gt;=#REF!,J153&lt;=#REF!),#REF!))))</f>
        <v>Medium</v>
      </c>
    </row>
    <row r="154" spans="2:11" s="132" customFormat="1" x14ac:dyDescent="0.25">
      <c r="B154" s="137" t="s">
        <v>286</v>
      </c>
      <c r="C154" s="138">
        <f>[11]FATF!D146</f>
        <v>0</v>
      </c>
      <c r="D154" s="138">
        <f>[11]BASEL!H147</f>
        <v>1</v>
      </c>
      <c r="E154" s="138">
        <v>1</v>
      </c>
      <c r="F154" s="138">
        <v>1</v>
      </c>
      <c r="G154" s="139">
        <f t="shared" si="6"/>
        <v>0.7</v>
      </c>
      <c r="H154" s="140" t="str">
        <f>IF(AND(G154&gt;=$C$6,G154&lt;=$D$6),$B$6,IF(AND(G154&gt;=$C$5,G154&lt;=$D$5),$B$5,IF(AND(G154&gt;=$C$4,G154&lt;=$D$4),$B$4,IF(AND(G154&gt;=#REF!,G154&lt;=#REF!),#REF!))))</f>
        <v>Low</v>
      </c>
      <c r="I154" s="140"/>
      <c r="J154" s="141">
        <f t="shared" si="7"/>
        <v>0.7</v>
      </c>
      <c r="K154" s="140" t="str">
        <f>IF(AND(J154&gt;=$C$6,J154&lt;=$D$6),$B$6,IF(AND(J154&gt;=$C$5,J154&lt;=$D$5),$B$5,IF(AND(J154&gt;=$C$4,J154&lt;=$D$4),$B$4,IF(AND(J154&gt;=#REF!,J154&lt;=#REF!),#REF!))))</f>
        <v>Low</v>
      </c>
    </row>
    <row r="155" spans="2:11" s="132" customFormat="1" x14ac:dyDescent="0.25">
      <c r="B155" s="137" t="s">
        <v>211</v>
      </c>
      <c r="C155" s="138">
        <f>[11]FATF!D147</f>
        <v>1</v>
      </c>
      <c r="D155" s="138">
        <f>[11]BASEL!H148</f>
        <v>2</v>
      </c>
      <c r="E155" s="138">
        <v>2</v>
      </c>
      <c r="F155" s="138">
        <v>1</v>
      </c>
      <c r="G155" s="139">
        <f t="shared" si="6"/>
        <v>1.6500000000000001</v>
      </c>
      <c r="H155" s="140" t="str">
        <f>IF(AND(G155&gt;=$C$6,G155&lt;=$D$6),$B$6,IF(AND(G155&gt;=$C$5,G155&lt;=$D$5),$B$5,IF(AND(G155&gt;=$C$4,G155&lt;=$D$4),$B$4,IF(AND(G155&gt;=#REF!,G155&lt;=#REF!),#REF!))))</f>
        <v>Medium</v>
      </c>
      <c r="I155" s="140"/>
      <c r="J155" s="141">
        <f t="shared" si="7"/>
        <v>1.6500000000000001</v>
      </c>
      <c r="K155" s="140" t="str">
        <f>IF(AND(J155&gt;=$C$6,J155&lt;=$D$6),$B$6,IF(AND(J155&gt;=$C$5,J155&lt;=$D$5),$B$5,IF(AND(J155&gt;=$C$4,J155&lt;=$D$4),$B$4,IF(AND(J155&gt;=#REF!,J155&lt;=#REF!),#REF!))))</f>
        <v>Medium</v>
      </c>
    </row>
    <row r="156" spans="2:11" s="132" customFormat="1" x14ac:dyDescent="0.25">
      <c r="B156" s="164" t="s">
        <v>212</v>
      </c>
      <c r="C156" s="138">
        <f>[11]FATF!D148</f>
        <v>1</v>
      </c>
      <c r="D156" s="138">
        <f>[11]BASEL!H149</f>
        <v>2</v>
      </c>
      <c r="E156" s="138">
        <v>1</v>
      </c>
      <c r="F156" s="138">
        <v>1</v>
      </c>
      <c r="G156" s="139">
        <f t="shared" si="6"/>
        <v>1.35</v>
      </c>
      <c r="H156" s="140" t="str">
        <f>IF(AND(G156&gt;=$C$6,G156&lt;=$D$6),$B$6,IF(AND(G156&gt;=$C$5,G156&lt;=$D$5),$B$5,IF(AND(G156&gt;=$C$4,G156&lt;=$D$4),$B$4,IF(AND(G156&gt;=#REF!,G156&lt;=#REF!),#REF!))))</f>
        <v>Medium</v>
      </c>
      <c r="I156" s="140" t="s">
        <v>1393</v>
      </c>
      <c r="J156" s="141">
        <f t="shared" si="7"/>
        <v>3</v>
      </c>
      <c r="K156" s="140" t="str">
        <f>IF(AND(J156&gt;=$C$6,J156&lt;=$D$6),$B$6,IF(AND(J156&gt;=$C$5,J156&lt;=$D$5),$B$5,IF(AND(J156&gt;=$C$4,J156&lt;=$D$4),$B$4,IF(AND(J156&gt;=#REF!,J156&lt;=#REF!),#REF!))))</f>
        <v>High</v>
      </c>
    </row>
    <row r="157" spans="2:11" s="132" customFormat="1" x14ac:dyDescent="0.25">
      <c r="B157" s="137" t="s">
        <v>213</v>
      </c>
      <c r="C157" s="138">
        <f>[11]FATF!D149</f>
        <v>1</v>
      </c>
      <c r="D157" s="138">
        <f>[11]BASEL!H150</f>
        <v>2</v>
      </c>
      <c r="E157" s="138">
        <v>1</v>
      </c>
      <c r="F157" s="138">
        <v>1</v>
      </c>
      <c r="G157" s="139">
        <f t="shared" si="6"/>
        <v>1.35</v>
      </c>
      <c r="H157" s="140" t="str">
        <f>IF(AND(G157&gt;=$C$6,G157&lt;=$D$6),$B$6,IF(AND(G157&gt;=$C$5,G157&lt;=$D$5),$B$5,IF(AND(G157&gt;=$C$4,G157&lt;=$D$4),$B$4,IF(AND(G157&gt;=#REF!,G157&lt;=#REF!),#REF!))))</f>
        <v>Medium</v>
      </c>
      <c r="I157" s="140"/>
      <c r="J157" s="141">
        <f t="shared" si="7"/>
        <v>1.35</v>
      </c>
      <c r="K157" s="140" t="str">
        <f>IF(AND(J157&gt;=$C$6,J157&lt;=$D$6),$B$6,IF(AND(J157&gt;=$C$5,J157&lt;=$D$5),$B$5,IF(AND(J157&gt;=$C$4,J157&lt;=$D$4),$B$4,IF(AND(J157&gt;=#REF!,J157&lt;=#REF!),#REF!))))</f>
        <v>Medium</v>
      </c>
    </row>
    <row r="158" spans="2:11" s="132" customFormat="1" x14ac:dyDescent="0.25">
      <c r="B158" s="137" t="s">
        <v>214</v>
      </c>
      <c r="C158" s="138">
        <f>[11]FATF!D150</f>
        <v>1</v>
      </c>
      <c r="D158" s="138">
        <f>[11]BASEL!H151</f>
        <v>2</v>
      </c>
      <c r="E158" s="138">
        <v>2</v>
      </c>
      <c r="F158" s="138">
        <v>1</v>
      </c>
      <c r="G158" s="139">
        <f t="shared" si="6"/>
        <v>1.6500000000000001</v>
      </c>
      <c r="H158" s="140" t="str">
        <f>IF(AND(G158&gt;=$C$6,G158&lt;=$D$6),$B$6,IF(AND(G158&gt;=$C$5,G158&lt;=$D$5),$B$5,IF(AND(G158&gt;=$C$4,G158&lt;=$D$4),$B$4,IF(AND(G158&gt;=#REF!,G158&lt;=#REF!),#REF!))))</f>
        <v>Medium</v>
      </c>
      <c r="I158" s="140"/>
      <c r="J158" s="141">
        <f t="shared" si="7"/>
        <v>1.6500000000000001</v>
      </c>
      <c r="K158" s="140" t="str">
        <f>IF(AND(J158&gt;=$C$6,J158&lt;=$D$6),$B$6,IF(AND(J158&gt;=$C$5,J158&lt;=$D$5),$B$5,IF(AND(J158&gt;=$C$4,J158&lt;=$D$4),$B$4,IF(AND(J158&gt;=#REF!,J158&lt;=#REF!),#REF!))))</f>
        <v>Medium</v>
      </c>
    </row>
    <row r="159" spans="2:11" s="132" customFormat="1" x14ac:dyDescent="0.25">
      <c r="B159" s="137" t="s">
        <v>1371</v>
      </c>
      <c r="C159" s="138">
        <f>[11]FATF!D151</f>
        <v>1</v>
      </c>
      <c r="D159" s="142">
        <v>1</v>
      </c>
      <c r="E159" s="138">
        <v>1</v>
      </c>
      <c r="F159" s="138">
        <v>1</v>
      </c>
      <c r="G159" s="139">
        <f t="shared" si="6"/>
        <v>1</v>
      </c>
      <c r="H159" s="140" t="str">
        <f>IF(AND(G159&gt;=$C$6,G159&lt;=$D$6),$B$6,IF(AND(G159&gt;=$C$5,G159&lt;=$D$5),$B$5,IF(AND(G159&gt;=$C$4,G159&lt;=$D$4),$B$4,IF(AND(G159&gt;=#REF!,G159&lt;=#REF!),#REF!))))</f>
        <v>Low</v>
      </c>
      <c r="I159" s="140"/>
      <c r="J159" s="141">
        <f t="shared" si="7"/>
        <v>1</v>
      </c>
      <c r="K159" s="140" t="str">
        <f>IF(AND(J159&gt;=$C$6,J159&lt;=$D$6),$B$6,IF(AND(J159&gt;=$C$5,J159&lt;=$D$5),$B$5,IF(AND(J159&gt;=$C$4,J159&lt;=$D$4),$B$4,IF(AND(J159&gt;=#REF!,J159&lt;=#REF!),#REF!))))</f>
        <v>Low</v>
      </c>
    </row>
    <row r="160" spans="2:11" s="132" customFormat="1" x14ac:dyDescent="0.25">
      <c r="B160" s="137" t="s">
        <v>41</v>
      </c>
      <c r="C160" s="138">
        <f>[11]FATF!D152</f>
        <v>1</v>
      </c>
      <c r="D160" s="138">
        <f>[11]BASEL!H153</f>
        <v>2</v>
      </c>
      <c r="E160" s="138">
        <v>1</v>
      </c>
      <c r="F160" s="138">
        <v>1</v>
      </c>
      <c r="G160" s="139">
        <f t="shared" si="6"/>
        <v>1.35</v>
      </c>
      <c r="H160" s="140" t="str">
        <f>IF(AND(G160&gt;=$C$6,G160&lt;=$D$6),$B$6,IF(AND(G160&gt;=$C$5,G160&lt;=$D$5),$B$5,IF(AND(G160&gt;=$C$4,G160&lt;=$D$4),$B$4,IF(AND(G160&gt;=#REF!,G160&lt;=#REF!),#REF!))))</f>
        <v>Medium</v>
      </c>
      <c r="I160" s="140"/>
      <c r="J160" s="141">
        <f t="shared" si="7"/>
        <v>1.35</v>
      </c>
      <c r="K160" s="140" t="str">
        <f>IF(AND(J160&gt;=$C$6,J160&lt;=$D$6),$B$6,IF(AND(J160&gt;=$C$5,J160&lt;=$D$5),$B$5,IF(AND(J160&gt;=$C$4,J160&lt;=$D$4),$B$4,IF(AND(J160&gt;=#REF!,J160&lt;=#REF!),#REF!))))</f>
        <v>Medium</v>
      </c>
    </row>
    <row r="161" spans="2:11" s="132" customFormat="1" x14ac:dyDescent="0.25">
      <c r="B161" s="137" t="s">
        <v>42</v>
      </c>
      <c r="C161" s="138">
        <f>[11]FATF!D153</f>
        <v>2</v>
      </c>
      <c r="D161" s="138">
        <f>[11]BASEL!H154</f>
        <v>3</v>
      </c>
      <c r="E161" s="138">
        <v>1</v>
      </c>
      <c r="F161" s="138">
        <v>3</v>
      </c>
      <c r="G161" s="139">
        <f t="shared" si="6"/>
        <v>2.1</v>
      </c>
      <c r="H161" s="140" t="str">
        <f>IF(AND(G161&gt;=$C$6,G161&lt;=$D$6),$B$6,IF(AND(G161&gt;=$C$5,G161&lt;=$D$5),$B$5,IF(AND(G161&gt;=$C$4,G161&lt;=$D$4),$B$4,IF(AND(G161&gt;=#REF!,G161&lt;=#REF!),#REF!))))</f>
        <v>High</v>
      </c>
      <c r="I161" s="140" t="s">
        <v>1393</v>
      </c>
      <c r="J161" s="141">
        <f t="shared" si="7"/>
        <v>3</v>
      </c>
      <c r="K161" s="140" t="str">
        <f>IF(AND(J161&gt;=$C$6,J161&lt;=$D$6),$B$6,IF(AND(J161&gt;=$C$5,J161&lt;=$D$5),$B$5,IF(AND(J161&gt;=$C$4,J161&lt;=$D$4),$B$4,IF(AND(J161&gt;=#REF!,J161&lt;=#REF!),#REF!))))</f>
        <v>High</v>
      </c>
    </row>
    <row r="162" spans="2:11" s="132" customFormat="1" x14ac:dyDescent="0.25">
      <c r="B162" s="137" t="s">
        <v>43</v>
      </c>
      <c r="C162" s="138">
        <f>[11]FATF!D154</f>
        <v>3</v>
      </c>
      <c r="D162" s="138">
        <f>[11]BASEL!H155</f>
        <v>3</v>
      </c>
      <c r="E162" s="138">
        <v>2</v>
      </c>
      <c r="F162" s="138">
        <v>1</v>
      </c>
      <c r="G162" s="139">
        <f t="shared" si="6"/>
        <v>2.5999999999999996</v>
      </c>
      <c r="H162" s="140" t="str">
        <f>IF(AND(G162&gt;=$C$6,G162&lt;=$D$6),$B$6,IF(AND(G162&gt;=$C$5,G162&lt;=$D$5),$B$5,IF(AND(G162&gt;=$C$4,G162&lt;=$D$4),$B$4,IF(AND(G162&gt;=#REF!,G162&lt;=#REF!),#REF!))))</f>
        <v>High</v>
      </c>
      <c r="I162" s="161" t="s">
        <v>279</v>
      </c>
      <c r="J162" s="141">
        <f t="shared" si="7"/>
        <v>4</v>
      </c>
      <c r="K162" s="161" t="s">
        <v>279</v>
      </c>
    </row>
    <row r="163" spans="2:11" s="132" customFormat="1" x14ac:dyDescent="0.25">
      <c r="B163" s="137" t="s">
        <v>215</v>
      </c>
      <c r="C163" s="138">
        <f>[11]FATF!D155</f>
        <v>2</v>
      </c>
      <c r="D163" s="138">
        <f>[11]BASEL!H156</f>
        <v>2</v>
      </c>
      <c r="E163" s="138">
        <v>1</v>
      </c>
      <c r="F163" s="138">
        <v>1</v>
      </c>
      <c r="G163" s="139">
        <f t="shared" si="6"/>
        <v>1.65</v>
      </c>
      <c r="H163" s="140" t="str">
        <f>IF(AND(G163&gt;=$C$6,G163&lt;=$D$6),$B$6,IF(AND(G163&gt;=$C$5,G163&lt;=$D$5),$B$5,IF(AND(G163&gt;=$C$4,G163&lt;=$D$4),$B$4,IF(AND(G163&gt;=#REF!,G163&lt;=#REF!),#REF!))))</f>
        <v>Medium</v>
      </c>
      <c r="I163" s="140" t="s">
        <v>1393</v>
      </c>
      <c r="J163" s="141">
        <f t="shared" si="7"/>
        <v>3</v>
      </c>
      <c r="K163" s="140" t="str">
        <f>IF(AND(J163&gt;=$C$6,J163&lt;=$D$6),$B$6,IF(AND(J163&gt;=$C$5,J163&lt;=$D$5),$B$5,IF(AND(J163&gt;=$C$4,J163&lt;=$D$4),$B$4,IF(AND(J163&gt;=#REF!,J163&lt;=#REF!),#REF!))))</f>
        <v>High</v>
      </c>
    </row>
    <row r="164" spans="2:11" s="132" customFormat="1" x14ac:dyDescent="0.25">
      <c r="B164" s="137" t="s">
        <v>216</v>
      </c>
      <c r="C164" s="138">
        <f>[11]FATF!D156</f>
        <v>1</v>
      </c>
      <c r="D164" s="138">
        <f>[11]BASEL!H157</f>
        <v>2</v>
      </c>
      <c r="E164" s="138">
        <v>1</v>
      </c>
      <c r="F164" s="138">
        <v>1</v>
      </c>
      <c r="G164" s="139">
        <f t="shared" si="6"/>
        <v>1.35</v>
      </c>
      <c r="H164" s="140" t="str">
        <f>IF(AND(G164&gt;=$C$6,G164&lt;=$D$6),$B$6,IF(AND(G164&gt;=$C$5,G164&lt;=$D$5),$B$5,IF(AND(G164&gt;=$C$4,G164&lt;=$D$4),$B$4,IF(AND(G164&gt;=#REF!,G164&lt;=#REF!),#REF!))))</f>
        <v>Medium</v>
      </c>
      <c r="I164" s="140"/>
      <c r="J164" s="141">
        <f t="shared" si="7"/>
        <v>1.35</v>
      </c>
      <c r="K164" s="140" t="str">
        <f>IF(AND(J164&gt;=$C$6,J164&lt;=$D$6),$B$6,IF(AND(J164&gt;=$C$5,J164&lt;=$D$5),$B$5,IF(AND(J164&gt;=$C$4,J164&lt;=$D$4),$B$4,IF(AND(J164&gt;=#REF!,J164&lt;=#REF!),#REF!))))</f>
        <v>Medium</v>
      </c>
    </row>
    <row r="165" spans="2:11" s="132" customFormat="1" x14ac:dyDescent="0.25">
      <c r="B165" s="137" t="s">
        <v>44</v>
      </c>
      <c r="C165" s="138">
        <f>[11]FATF!D157</f>
        <v>1</v>
      </c>
      <c r="D165" s="138">
        <f>[11]BASEL!H158</f>
        <v>2</v>
      </c>
      <c r="E165" s="138">
        <v>1</v>
      </c>
      <c r="F165" s="138">
        <v>1</v>
      </c>
      <c r="G165" s="139">
        <f t="shared" si="6"/>
        <v>1.35</v>
      </c>
      <c r="H165" s="140" t="str">
        <f>IF(AND(G165&gt;=$C$6,G165&lt;=$D$6),$B$6,IF(AND(G165&gt;=$C$5,G165&lt;=$D$5),$B$5,IF(AND(G165&gt;=$C$4,G165&lt;=$D$4),$B$4,IF(AND(G165&gt;=#REF!,G165&lt;=#REF!),#REF!))))</f>
        <v>Medium</v>
      </c>
      <c r="I165" s="140" t="s">
        <v>1393</v>
      </c>
      <c r="J165" s="141">
        <f t="shared" si="7"/>
        <v>3</v>
      </c>
      <c r="K165" s="140" t="str">
        <f>IF(AND(J165&gt;=$C$6,J165&lt;=$D$6),$B$6,IF(AND(J165&gt;=$C$5,J165&lt;=$D$5),$B$5,IF(AND(J165&gt;=$C$4,J165&lt;=$D$4),$B$4,IF(AND(J165&gt;=#REF!,J165&lt;=#REF!),#REF!))))</f>
        <v>High</v>
      </c>
    </row>
    <row r="166" spans="2:11" s="132" customFormat="1" x14ac:dyDescent="0.25">
      <c r="B166" s="137" t="s">
        <v>217</v>
      </c>
      <c r="C166" s="138">
        <f>[11]FATF!D158</f>
        <v>1</v>
      </c>
      <c r="D166" s="138">
        <f>[11]BASEL!H159</f>
        <v>2</v>
      </c>
      <c r="E166" s="138">
        <v>1</v>
      </c>
      <c r="F166" s="138">
        <v>1</v>
      </c>
      <c r="G166" s="139">
        <f t="shared" si="6"/>
        <v>1.35</v>
      </c>
      <c r="H166" s="140" t="str">
        <f>IF(AND(G166&gt;=$C$6,G166&lt;=$D$6),$B$6,IF(AND(G166&gt;=$C$5,G166&lt;=$D$5),$B$5,IF(AND(G166&gt;=$C$4,G166&lt;=$D$4),$B$4,IF(AND(G166&gt;=#REF!,G166&lt;=#REF!),#REF!))))</f>
        <v>Medium</v>
      </c>
      <c r="I166" s="140"/>
      <c r="J166" s="141">
        <f t="shared" si="7"/>
        <v>1.35</v>
      </c>
      <c r="K166" s="140" t="str">
        <f>IF(AND(J166&gt;=$C$6,J166&lt;=$D$6),$B$6,IF(AND(J166&gt;=$C$5,J166&lt;=$D$5),$B$5,IF(AND(J166&gt;=$C$4,J166&lt;=$D$4),$B$4,IF(AND(J166&gt;=#REF!,J166&lt;=#REF!),#REF!))))</f>
        <v>Medium</v>
      </c>
    </row>
    <row r="167" spans="2:11" s="132" customFormat="1" x14ac:dyDescent="0.25">
      <c r="B167" s="137" t="s">
        <v>1372</v>
      </c>
      <c r="C167" s="138"/>
      <c r="D167" s="138"/>
      <c r="E167" s="138"/>
      <c r="F167" s="138"/>
      <c r="G167" s="139">
        <f t="shared" si="6"/>
        <v>0</v>
      </c>
      <c r="H167" s="140" t="str">
        <f>IF(AND(G167&gt;=$C$6,G167&lt;=$D$6),$B$6,IF(AND(G167&gt;=$C$5,G167&lt;=$D$5),$B$5,IF(AND(G167&gt;=$C$4,G167&lt;=$D$4),$B$4,IF(AND(G167&gt;=#REF!,G167&lt;=#REF!),#REF!))))</f>
        <v>Low</v>
      </c>
      <c r="I167" s="140"/>
      <c r="J167" s="141">
        <f t="shared" si="7"/>
        <v>0</v>
      </c>
      <c r="K167" s="140" t="str">
        <f>IF(AND(J167&gt;=$C$6,J167&lt;=$D$6),$B$6,IF(AND(J167&gt;=$C$5,J167&lt;=$D$5),$B$5,IF(AND(J167&gt;=$C$4,J167&lt;=$D$4),$B$4,IF(AND(J167&gt;=#REF!,J167&lt;=#REF!),#REF!))))</f>
        <v>Low</v>
      </c>
    </row>
    <row r="168" spans="2:11" s="132" customFormat="1" x14ac:dyDescent="0.25">
      <c r="B168" s="137" t="s">
        <v>1373</v>
      </c>
      <c r="C168" s="142">
        <v>1</v>
      </c>
      <c r="D168" s="142">
        <v>1</v>
      </c>
      <c r="E168" s="138">
        <v>1</v>
      </c>
      <c r="F168" s="138">
        <v>1</v>
      </c>
      <c r="G168" s="139">
        <f t="shared" si="6"/>
        <v>1</v>
      </c>
      <c r="H168" s="140" t="str">
        <f>IF(AND(G168&gt;=$C$6,G168&lt;=$D$6),$B$6,IF(AND(G168&gt;=$C$5,G168&lt;=$D$5),$B$5,IF(AND(G168&gt;=$C$4,G168&lt;=$D$4),$B$4,IF(AND(G168&gt;=#REF!,G168&lt;=#REF!),#REF!))))</f>
        <v>Low</v>
      </c>
      <c r="I168" s="140"/>
      <c r="J168" s="141">
        <f t="shared" si="7"/>
        <v>1</v>
      </c>
      <c r="K168" s="140" t="str">
        <f>IF(AND(J168&gt;=$C$6,J168&lt;=$D$6),$B$6,IF(AND(J168&gt;=$C$5,J168&lt;=$D$5),$B$5,IF(AND(J168&gt;=$C$4,J168&lt;=$D$4),$B$4,IF(AND(J168&gt;=#REF!,J168&lt;=#REF!),#REF!))))</f>
        <v>Low</v>
      </c>
    </row>
    <row r="169" spans="2:11" s="132" customFormat="1" x14ac:dyDescent="0.25">
      <c r="B169" s="137" t="s">
        <v>218</v>
      </c>
      <c r="C169" s="138">
        <f>[11]FATF!D161</f>
        <v>1</v>
      </c>
      <c r="D169" s="138">
        <f>[11]BASEL!H162</f>
        <v>1</v>
      </c>
      <c r="E169" s="138">
        <v>1</v>
      </c>
      <c r="F169" s="138">
        <v>1</v>
      </c>
      <c r="G169" s="139">
        <f t="shared" si="6"/>
        <v>1</v>
      </c>
      <c r="H169" s="140" t="str">
        <f>IF(AND(G169&gt;=$C$6,G169&lt;=$D$6),$B$6,IF(AND(G169&gt;=$C$5,G169&lt;=$D$5),$B$5,IF(AND(G169&gt;=$C$4,G169&lt;=$D$4),$B$4,IF(AND(G169&gt;=#REF!,G169&lt;=#REF!),#REF!))))</f>
        <v>Low</v>
      </c>
      <c r="I169" s="140"/>
      <c r="J169" s="141">
        <f t="shared" si="7"/>
        <v>1</v>
      </c>
      <c r="K169" s="140" t="str">
        <f>IF(AND(J169&gt;=$C$6,J169&lt;=$D$6),$B$6,IF(AND(J169&gt;=$C$5,J169&lt;=$D$5),$B$5,IF(AND(J169&gt;=$C$4,J169&lt;=$D$4),$B$4,IF(AND(J169&gt;=#REF!,J169&lt;=#REF!),#REF!))))</f>
        <v>Low</v>
      </c>
    </row>
    <row r="170" spans="2:11" s="132" customFormat="1" x14ac:dyDescent="0.25">
      <c r="B170" s="137" t="s">
        <v>45</v>
      </c>
      <c r="C170" s="138">
        <f>[11]FATF!D162</f>
        <v>1</v>
      </c>
      <c r="D170" s="138">
        <f>[11]BASEL!H163</f>
        <v>2</v>
      </c>
      <c r="E170" s="138">
        <v>2</v>
      </c>
      <c r="F170" s="138">
        <v>1</v>
      </c>
      <c r="G170" s="139">
        <f t="shared" si="6"/>
        <v>1.6500000000000001</v>
      </c>
      <c r="H170" s="140" t="str">
        <f>IF(AND(G170&gt;=$C$6,G170&lt;=$D$6),$B$6,IF(AND(G170&gt;=$C$5,G170&lt;=$D$5),$B$5,IF(AND(G170&gt;=$C$4,G170&lt;=$D$4),$B$4,IF(AND(G170&gt;=#REF!,G170&lt;=#REF!),#REF!))))</f>
        <v>Medium</v>
      </c>
      <c r="I170" s="140"/>
      <c r="J170" s="141">
        <f t="shared" si="7"/>
        <v>1.6500000000000001</v>
      </c>
      <c r="K170" s="140" t="str">
        <f>IF(AND(J170&gt;=$C$6,J170&lt;=$D$6),$B$6,IF(AND(J170&gt;=$C$5,J170&lt;=$D$5),$B$5,IF(AND(J170&gt;=$C$4,J170&lt;=$D$4),$B$4,IF(AND(J170&gt;=#REF!,J170&lt;=#REF!),#REF!))))</f>
        <v>Medium</v>
      </c>
    </row>
    <row r="171" spans="2:11" s="132" customFormat="1" x14ac:dyDescent="0.25">
      <c r="B171" s="137" t="s">
        <v>46</v>
      </c>
      <c r="C171" s="138">
        <f>[11]FATF!D163</f>
        <v>1</v>
      </c>
      <c r="D171" s="138">
        <f>[11]BASEL!H164</f>
        <v>2</v>
      </c>
      <c r="E171" s="138">
        <v>1</v>
      </c>
      <c r="F171" s="138">
        <v>3</v>
      </c>
      <c r="G171" s="139">
        <f t="shared" si="6"/>
        <v>1.4500000000000002</v>
      </c>
      <c r="H171" s="140" t="str">
        <f>IF(AND(G171&gt;=$C$6,G171&lt;=$D$6),$B$6,IF(AND(G171&gt;=$C$5,G171&lt;=$D$5),$B$5,IF(AND(G171&gt;=$C$4,G171&lt;=$D$4),$B$4,IF(AND(G171&gt;=#REF!,G171&lt;=#REF!),#REF!))))</f>
        <v>Medium</v>
      </c>
      <c r="I171" s="140"/>
      <c r="J171" s="141">
        <f t="shared" si="7"/>
        <v>1.4500000000000002</v>
      </c>
      <c r="K171" s="140" t="str">
        <f>IF(AND(J171&gt;=$C$6,J171&lt;=$D$6),$B$6,IF(AND(J171&gt;=$C$5,J171&lt;=$D$5),$B$5,IF(AND(J171&gt;=$C$4,J171&lt;=$D$4),$B$4,IF(AND(J171&gt;=#REF!,J171&lt;=#REF!),#REF!))))</f>
        <v>Medium</v>
      </c>
    </row>
    <row r="172" spans="2:11" s="132" customFormat="1" x14ac:dyDescent="0.25">
      <c r="B172" s="137" t="s">
        <v>47</v>
      </c>
      <c r="C172" s="138">
        <f>[11]FATF!D164</f>
        <v>2</v>
      </c>
      <c r="D172" s="138">
        <f>[11]BASEL!H165</f>
        <v>2</v>
      </c>
      <c r="E172" s="138">
        <v>1</v>
      </c>
      <c r="F172" s="138">
        <v>3</v>
      </c>
      <c r="G172" s="139">
        <f t="shared" si="6"/>
        <v>1.75</v>
      </c>
      <c r="H172" s="140" t="str">
        <f>IF(AND(G172&gt;=$C$6,G172&lt;=$D$6),$B$6,IF(AND(G172&gt;=$C$5,G172&lt;=$D$5),$B$5,IF(AND(G172&gt;=$C$4,G172&lt;=$D$4),$B$4,IF(AND(G172&gt;=#REF!,G172&lt;=#REF!),#REF!))))</f>
        <v>Medium</v>
      </c>
      <c r="I172" s="140" t="s">
        <v>1393</v>
      </c>
      <c r="J172" s="141">
        <f t="shared" si="7"/>
        <v>3</v>
      </c>
      <c r="K172" s="140" t="str">
        <f>IF(AND(J172&gt;=$C$6,J172&lt;=$D$6),$B$6,IF(AND(J172&gt;=$C$5,J172&lt;=$D$5),$B$5,IF(AND(J172&gt;=$C$4,J172&lt;=$D$4),$B$4,IF(AND(J172&gt;=#REF!,J172&lt;=#REF!),#REF!))))</f>
        <v>High</v>
      </c>
    </row>
    <row r="173" spans="2:11" s="132" customFormat="1" x14ac:dyDescent="0.25">
      <c r="B173" s="137" t="s">
        <v>1374</v>
      </c>
      <c r="C173" s="138">
        <f>[11]FATF!D165</f>
        <v>1</v>
      </c>
      <c r="D173" s="142">
        <v>1</v>
      </c>
      <c r="E173" s="138">
        <v>1</v>
      </c>
      <c r="F173" s="138">
        <v>1</v>
      </c>
      <c r="G173" s="139">
        <f t="shared" si="6"/>
        <v>1</v>
      </c>
      <c r="H173" s="140" t="str">
        <f>IF(AND(G173&gt;=$C$6,G173&lt;=$D$6),$B$6,IF(AND(G173&gt;=$C$5,G173&lt;=$D$5),$B$5,IF(AND(G173&gt;=$C$4,G173&lt;=$D$4),$B$4,IF(AND(G173&gt;=#REF!,G173&lt;=#REF!),#REF!))))</f>
        <v>Low</v>
      </c>
      <c r="I173" s="140"/>
      <c r="J173" s="141">
        <f t="shared" si="7"/>
        <v>1</v>
      </c>
      <c r="K173" s="140" t="str">
        <f>IF(AND(J173&gt;=$C$6,J173&lt;=$D$6),$B$6,IF(AND(J173&gt;=$C$5,J173&lt;=$D$5),$B$5,IF(AND(J173&gt;=$C$4,J173&lt;=$D$4),$B$4,IF(AND(J173&gt;=#REF!,J173&lt;=#REF!),#REF!))))</f>
        <v>Low</v>
      </c>
    </row>
    <row r="174" spans="2:11" s="132" customFormat="1" x14ac:dyDescent="0.25">
      <c r="B174" s="137" t="s">
        <v>1375</v>
      </c>
      <c r="C174" s="142">
        <v>1</v>
      </c>
      <c r="D174" s="142">
        <v>1</v>
      </c>
      <c r="E174" s="138">
        <v>1</v>
      </c>
      <c r="F174" s="138">
        <v>1</v>
      </c>
      <c r="G174" s="139">
        <f t="shared" si="6"/>
        <v>1</v>
      </c>
      <c r="H174" s="140" t="str">
        <f>IF(AND(G174&gt;=$C$6,G174&lt;=$D$6),$B$6,IF(AND(G174&gt;=$C$5,G174&lt;=$D$5),$B$5,IF(AND(G174&gt;=$C$4,G174&lt;=$D$4),$B$4,IF(AND(G174&gt;=#REF!,G174&lt;=#REF!),#REF!))))</f>
        <v>Low</v>
      </c>
      <c r="I174" s="140"/>
      <c r="J174" s="141">
        <f t="shared" si="7"/>
        <v>1</v>
      </c>
      <c r="K174" s="140" t="str">
        <f>IF(AND(J174&gt;=$C$6,J174&lt;=$D$6),$B$6,IF(AND(J174&gt;=$C$5,J174&lt;=$D$5),$B$5,IF(AND(J174&gt;=$C$4,J174&lt;=$D$4),$B$4,IF(AND(J174&gt;=#REF!,J174&lt;=#REF!),#REF!))))</f>
        <v>Low</v>
      </c>
    </row>
    <row r="175" spans="2:11" s="132" customFormat="1" x14ac:dyDescent="0.25">
      <c r="B175" s="137" t="s">
        <v>219</v>
      </c>
      <c r="C175" s="138">
        <f>[11]FATF!D167</f>
        <v>3</v>
      </c>
      <c r="D175" s="138">
        <f>[11]BASEL!H168</f>
        <v>3</v>
      </c>
      <c r="E175" s="138">
        <v>3</v>
      </c>
      <c r="F175" s="138">
        <v>1</v>
      </c>
      <c r="G175" s="139">
        <f t="shared" si="6"/>
        <v>2.8999999999999995</v>
      </c>
      <c r="H175" s="140" t="str">
        <f>IF(AND(G175&gt;=$C$6,G175&lt;=$D$6),$B$6,IF(AND(G175&gt;=$C$5,G175&lt;=$D$5),$B$5,IF(AND(G175&gt;=$C$4,G175&lt;=$D$4),$B$4,IF(AND(G175&gt;=#REF!,G175&lt;=#REF!),#REF!))))</f>
        <v>High</v>
      </c>
      <c r="I175" s="166" t="s">
        <v>279</v>
      </c>
      <c r="J175" s="141">
        <f t="shared" si="7"/>
        <v>4</v>
      </c>
      <c r="K175" s="161" t="s">
        <v>279</v>
      </c>
    </row>
    <row r="176" spans="2:11" s="132" customFormat="1" x14ac:dyDescent="0.25">
      <c r="B176" s="137" t="s">
        <v>1376</v>
      </c>
      <c r="C176" s="142">
        <v>1</v>
      </c>
      <c r="D176" s="142">
        <v>1</v>
      </c>
      <c r="E176" s="138">
        <v>1</v>
      </c>
      <c r="F176" s="138">
        <v>1</v>
      </c>
      <c r="G176" s="139">
        <f t="shared" si="6"/>
        <v>1</v>
      </c>
      <c r="H176" s="140" t="str">
        <f>IF(AND(G176&gt;=$C$6,G176&lt;=$D$6),$B$6,IF(AND(G176&gt;=$C$5,G176&lt;=$D$5),$B$5,IF(AND(G176&gt;=$C$4,G176&lt;=$D$4),$B$4,IF(AND(G176&gt;=#REF!,G176&lt;=#REF!),#REF!))))</f>
        <v>Low</v>
      </c>
      <c r="I176" s="140"/>
      <c r="J176" s="141">
        <f t="shared" si="7"/>
        <v>1</v>
      </c>
      <c r="K176" s="140" t="str">
        <f>IF(AND(J176&gt;=$C$6,J176&lt;=$D$6),$B$6,IF(AND(J176&gt;=$C$5,J176&lt;=$D$5),$B$5,IF(AND(J176&gt;=$C$4,J176&lt;=$D$4),$B$4,IF(AND(J176&gt;=#REF!,J176&lt;=#REF!),#REF!))))</f>
        <v>Low</v>
      </c>
    </row>
    <row r="177" spans="2:11" s="132" customFormat="1" x14ac:dyDescent="0.25">
      <c r="B177" s="137" t="s">
        <v>48</v>
      </c>
      <c r="C177" s="138">
        <f>[11]FATF!D169</f>
        <v>1</v>
      </c>
      <c r="D177" s="138">
        <f>[11]BASEL!H170</f>
        <v>1</v>
      </c>
      <c r="E177" s="163">
        <v>1</v>
      </c>
      <c r="F177" s="163">
        <v>1</v>
      </c>
      <c r="G177" s="139">
        <f t="shared" si="6"/>
        <v>1</v>
      </c>
      <c r="H177" s="140" t="str">
        <f>IF(AND(G177&gt;=$C$6,G177&lt;=$D$6),$B$6,IF(AND(G177&gt;=$C$5,G177&lt;=$D$5),$B$5,IF(AND(G177&gt;=$C$4,G177&lt;=$D$4),$B$4,IF(AND(G177&gt;=#REF!,G177&lt;=#REF!),#REF!))))</f>
        <v>Low</v>
      </c>
      <c r="I177" s="140"/>
      <c r="J177" s="141">
        <f t="shared" si="7"/>
        <v>1</v>
      </c>
      <c r="K177" s="140" t="str">
        <f>IF(AND(J177&gt;=$C$6,J177&lt;=$D$6),$B$6,IF(AND(J177&gt;=$C$5,J177&lt;=$D$5),$B$5,IF(AND(J177&gt;=$C$4,J177&lt;=$D$4),$B$4,IF(AND(J177&gt;=#REF!,J177&lt;=#REF!),#REF!))))</f>
        <v>Low</v>
      </c>
    </row>
    <row r="178" spans="2:11" s="132" customFormat="1" x14ac:dyDescent="0.25">
      <c r="B178" s="137" t="s">
        <v>49</v>
      </c>
      <c r="C178" s="138">
        <f>[11]FATF!D170</f>
        <v>1</v>
      </c>
      <c r="D178" s="138">
        <f>[11]BASEL!H171</f>
        <v>2</v>
      </c>
      <c r="E178" s="138">
        <v>1</v>
      </c>
      <c r="F178" s="138">
        <v>1</v>
      </c>
      <c r="G178" s="139">
        <f t="shared" si="6"/>
        <v>1.35</v>
      </c>
      <c r="H178" s="140" t="str">
        <f>IF(AND(G178&gt;=$C$6,G178&lt;=$D$6),$B$6,IF(AND(G178&gt;=$C$5,G178&lt;=$D$5),$B$5,IF(AND(G178&gt;=$C$4,G178&lt;=$D$4),$B$4,IF(AND(G178&gt;=#REF!,G178&lt;=#REF!),#REF!))))</f>
        <v>Medium</v>
      </c>
      <c r="I178" s="140"/>
      <c r="J178" s="141">
        <f t="shared" si="7"/>
        <v>1.35</v>
      </c>
      <c r="K178" s="140" t="str">
        <f>IF(AND(J178&gt;=$C$6,J178&lt;=$D$6),$B$6,IF(AND(J178&gt;=$C$5,J178&lt;=$D$5),$B$5,IF(AND(J178&gt;=$C$4,J178&lt;=$D$4),$B$4,IF(AND(J178&gt;=#REF!,J178&lt;=#REF!),#REF!))))</f>
        <v>Medium</v>
      </c>
    </row>
    <row r="179" spans="2:11" s="132" customFormat="1" x14ac:dyDescent="0.25">
      <c r="B179" s="137" t="s">
        <v>50</v>
      </c>
      <c r="C179" s="138">
        <f>[11]FATF!D171</f>
        <v>1</v>
      </c>
      <c r="D179" s="138">
        <f>[11]BASEL!H172</f>
        <v>2</v>
      </c>
      <c r="E179" s="138">
        <v>1</v>
      </c>
      <c r="F179" s="138">
        <v>3</v>
      </c>
      <c r="G179" s="139">
        <f t="shared" si="6"/>
        <v>1.4500000000000002</v>
      </c>
      <c r="H179" s="140" t="str">
        <f>IF(AND(G179&gt;=$C$6,G179&lt;=$D$6),$B$6,IF(AND(G179&gt;=$C$5,G179&lt;=$D$5),$B$5,IF(AND(G179&gt;=$C$4,G179&lt;=$D$4),$B$4,IF(AND(G179&gt;=#REF!,G179&lt;=#REF!),#REF!))))</f>
        <v>Medium</v>
      </c>
      <c r="I179" s="140"/>
      <c r="J179" s="141">
        <f t="shared" si="7"/>
        <v>1.4500000000000002</v>
      </c>
      <c r="K179" s="140" t="str">
        <f>IF(AND(J179&gt;=$C$6,J179&lt;=$D$6),$B$6,IF(AND(J179&gt;=$C$5,J179&lt;=$D$5),$B$5,IF(AND(J179&gt;=$C$4,J179&lt;=$D$4),$B$4,IF(AND(J179&gt;=#REF!,J179&lt;=#REF!),#REF!))))</f>
        <v>Medium</v>
      </c>
    </row>
    <row r="180" spans="2:11" s="132" customFormat="1" x14ac:dyDescent="0.25">
      <c r="B180" s="137" t="s">
        <v>288</v>
      </c>
      <c r="C180" s="138">
        <f>[11]FATF!D172</f>
        <v>1</v>
      </c>
      <c r="D180" s="138">
        <f>[11]BASEL!H173</f>
        <v>2</v>
      </c>
      <c r="E180" s="138">
        <v>1</v>
      </c>
      <c r="F180" s="138">
        <v>1</v>
      </c>
      <c r="G180" s="139">
        <f t="shared" si="6"/>
        <v>1.35</v>
      </c>
      <c r="H180" s="140" t="str">
        <f>IF(AND(G180&gt;=$C$6,G180&lt;=$D$6),$B$6,IF(AND(G180&gt;=$C$5,G180&lt;=$D$5),$B$5,IF(AND(G180&gt;=$C$4,G180&lt;=$D$4),$B$4,IF(AND(G180&gt;=#REF!,G180&lt;=#REF!),#REF!))))</f>
        <v>Medium</v>
      </c>
      <c r="I180" s="140"/>
      <c r="J180" s="141">
        <f t="shared" si="7"/>
        <v>1.35</v>
      </c>
      <c r="K180" s="140" t="str">
        <f>IF(AND(J180&gt;=$C$6,J180&lt;=$D$6),$B$6,IF(AND(J180&gt;=$C$5,J180&lt;=$D$5),$B$5,IF(AND(J180&gt;=$C$4,J180&lt;=$D$4),$B$4,IF(AND(J180&gt;=#REF!,J180&lt;=#REF!),#REF!))))</f>
        <v>Medium</v>
      </c>
    </row>
    <row r="181" spans="2:11" s="132" customFormat="1" x14ac:dyDescent="0.25">
      <c r="B181" s="137" t="s">
        <v>1377</v>
      </c>
      <c r="C181" s="138">
        <f>[11]FATF!D173</f>
        <v>1</v>
      </c>
      <c r="D181" s="142">
        <v>2</v>
      </c>
      <c r="E181" s="138">
        <v>1</v>
      </c>
      <c r="F181" s="138">
        <v>1</v>
      </c>
      <c r="G181" s="139">
        <f t="shared" si="6"/>
        <v>1.35</v>
      </c>
      <c r="H181" s="140" t="str">
        <f>IF(AND(G181&gt;=$C$6,G181&lt;=$D$6),$B$6,IF(AND(G181&gt;=$C$5,G181&lt;=$D$5),$B$5,IF(AND(G181&gt;=$C$4,G181&lt;=$D$4),$B$4,IF(AND(G181&gt;=#REF!,G181&lt;=#REF!),#REF!))))</f>
        <v>Medium</v>
      </c>
      <c r="I181" s="140"/>
      <c r="J181" s="141">
        <f t="shared" si="7"/>
        <v>1.35</v>
      </c>
      <c r="K181" s="140" t="str">
        <f>IF(AND(J181&gt;=$C$6,J181&lt;=$D$6),$B$6,IF(AND(J181&gt;=$C$5,J181&lt;=$D$5),$B$5,IF(AND(J181&gt;=$C$4,J181&lt;=$D$4),$B$4,IF(AND(J181&gt;=#REF!,J181&lt;=#REF!),#REF!))))</f>
        <v>Medium</v>
      </c>
    </row>
    <row r="182" spans="2:11" s="132" customFormat="1" x14ac:dyDescent="0.25">
      <c r="B182" s="137" t="s">
        <v>51</v>
      </c>
      <c r="C182" s="138">
        <f>[11]FATF!D174</f>
        <v>1</v>
      </c>
      <c r="D182" s="138">
        <f>[11]BASEL!H175</f>
        <v>2</v>
      </c>
      <c r="E182" s="138">
        <v>1</v>
      </c>
      <c r="F182" s="138">
        <v>1</v>
      </c>
      <c r="G182" s="139">
        <f t="shared" si="6"/>
        <v>1.35</v>
      </c>
      <c r="H182" s="140" t="str">
        <f>IF(AND(G182&gt;=$C$6,G182&lt;=$D$6),$B$6,IF(AND(G182&gt;=$C$5,G182&lt;=$D$5),$B$5,IF(AND(G182&gt;=$C$4,G182&lt;=$D$4),$B$4,IF(AND(G182&gt;=#REF!,G182&lt;=#REF!),#REF!))))</f>
        <v>Medium</v>
      </c>
      <c r="I182" s="140"/>
      <c r="J182" s="141">
        <f t="shared" si="7"/>
        <v>1.35</v>
      </c>
      <c r="K182" s="140" t="str">
        <f>IF(AND(J182&gt;=$C$6,J182&lt;=$D$6),$B$6,IF(AND(J182&gt;=$C$5,J182&lt;=$D$5),$B$5,IF(AND(J182&gt;=$C$4,J182&lt;=$D$4),$B$4,IF(AND(J182&gt;=#REF!,J182&lt;=#REF!),#REF!))))</f>
        <v>Medium</v>
      </c>
    </row>
    <row r="183" spans="2:11" s="132" customFormat="1" x14ac:dyDescent="0.25">
      <c r="B183" s="137" t="s">
        <v>304</v>
      </c>
      <c r="C183" s="138">
        <f>[11]FATF!D175</f>
        <v>1</v>
      </c>
      <c r="D183" s="138">
        <f>[11]BASEL!H176</f>
        <v>2</v>
      </c>
      <c r="E183" s="138">
        <v>1</v>
      </c>
      <c r="F183" s="138">
        <v>1</v>
      </c>
      <c r="G183" s="139">
        <f t="shared" si="6"/>
        <v>1.35</v>
      </c>
      <c r="H183" s="140" t="str">
        <f>IF(AND(G183&gt;=$C$6,G183&lt;=$D$6),$B$6,IF(AND(G183&gt;=$C$5,G183&lt;=$D$5),$B$5,IF(AND(G183&gt;=$C$4,G183&lt;=$D$4),$B$4,IF(AND(G183&gt;=#REF!,G183&lt;=#REF!),#REF!))))</f>
        <v>Medium</v>
      </c>
      <c r="I183" s="140"/>
      <c r="J183" s="141">
        <f t="shared" si="7"/>
        <v>1.35</v>
      </c>
      <c r="K183" s="140" t="str">
        <f>IF(AND(J183&gt;=$C$6,J183&lt;=$D$6),$B$6,IF(AND(J183&gt;=$C$5,J183&lt;=$D$5),$B$5,IF(AND(J183&gt;=$C$4,J183&lt;=$D$4),$B$4,IF(AND(J183&gt;=#REF!,J183&lt;=#REF!),#REF!))))</f>
        <v>Medium</v>
      </c>
    </row>
    <row r="184" spans="2:11" s="132" customFormat="1" x14ac:dyDescent="0.25">
      <c r="B184" s="137" t="s">
        <v>52</v>
      </c>
      <c r="C184" s="138">
        <f>[11]FATF!D176</f>
        <v>1</v>
      </c>
      <c r="D184" s="138">
        <f>[11]BASEL!H177</f>
        <v>2</v>
      </c>
      <c r="E184" s="138">
        <v>1</v>
      </c>
      <c r="F184" s="138">
        <v>1</v>
      </c>
      <c r="G184" s="139">
        <f t="shared" si="6"/>
        <v>1.35</v>
      </c>
      <c r="H184" s="140" t="str">
        <f>IF(AND(G184&gt;=$C$6,G184&lt;=$D$6),$B$6,IF(AND(G184&gt;=$C$5,G184&lt;=$D$5),$B$5,IF(AND(G184&gt;=$C$4,G184&lt;=$D$4),$B$4,IF(AND(G184&gt;=#REF!,G184&lt;=#REF!),#REF!))))</f>
        <v>Medium</v>
      </c>
      <c r="I184" s="140"/>
      <c r="J184" s="141">
        <f t="shared" si="7"/>
        <v>1.35</v>
      </c>
      <c r="K184" s="140" t="str">
        <f>IF(AND(J184&gt;=$C$6,J184&lt;=$D$6),$B$6,IF(AND(J184&gt;=$C$5,J184&lt;=$D$5),$B$5,IF(AND(J184&gt;=$C$4,J184&lt;=$D$4),$B$4,IF(AND(J184&gt;=#REF!,J184&lt;=#REF!),#REF!))))</f>
        <v>Medium</v>
      </c>
    </row>
    <row r="185" spans="2:11" s="132" customFormat="1" x14ac:dyDescent="0.25">
      <c r="B185" s="137" t="s">
        <v>53</v>
      </c>
      <c r="C185" s="138">
        <f>[11]FATF!D177</f>
        <v>1</v>
      </c>
      <c r="D185" s="138">
        <f>[11]BASEL!H178</f>
        <v>2</v>
      </c>
      <c r="E185" s="138">
        <v>1</v>
      </c>
      <c r="F185" s="138">
        <v>1</v>
      </c>
      <c r="G185" s="139">
        <f t="shared" si="6"/>
        <v>1.35</v>
      </c>
      <c r="H185" s="140" t="str">
        <f>IF(AND(G185&gt;=$C$6,G185&lt;=$D$6),$B$6,IF(AND(G185&gt;=$C$5,G185&lt;=$D$5),$B$5,IF(AND(G185&gt;=$C$4,G185&lt;=$D$4),$B$4,IF(AND(G185&gt;=#REF!,G185&lt;=#REF!),#REF!))))</f>
        <v>Medium</v>
      </c>
      <c r="I185" s="140"/>
      <c r="J185" s="141">
        <f t="shared" si="7"/>
        <v>1.35</v>
      </c>
      <c r="K185" s="140" t="str">
        <f>IF(AND(J185&gt;=$C$6,J185&lt;=$D$6),$B$6,IF(AND(J185&gt;=$C$5,J185&lt;=$D$5),$B$5,IF(AND(J185&gt;=$C$4,J185&lt;=$D$4),$B$4,IF(AND(J185&gt;=#REF!,J185&lt;=#REF!),#REF!))))</f>
        <v>Medium</v>
      </c>
    </row>
    <row r="186" spans="2:11" s="132" customFormat="1" x14ac:dyDescent="0.25">
      <c r="B186" s="137" t="s">
        <v>220</v>
      </c>
      <c r="C186" s="138">
        <f>[11]FATF!D178</f>
        <v>2</v>
      </c>
      <c r="D186" s="138">
        <f>[11]BASEL!H179</f>
        <v>2</v>
      </c>
      <c r="E186" s="138">
        <v>1</v>
      </c>
      <c r="F186" s="138">
        <v>3</v>
      </c>
      <c r="G186" s="139">
        <f t="shared" si="6"/>
        <v>1.75</v>
      </c>
      <c r="H186" s="140" t="str">
        <f>IF(AND(G186&gt;=$C$6,G186&lt;=$D$6),$B$6,IF(AND(G186&gt;=$C$5,G186&lt;=$D$5),$B$5,IF(AND(G186&gt;=$C$4,G186&lt;=$D$4),$B$4,IF(AND(G186&gt;=#REF!,G186&lt;=#REF!),#REF!))))</f>
        <v>Medium</v>
      </c>
      <c r="I186" s="140"/>
      <c r="J186" s="141">
        <f t="shared" si="7"/>
        <v>1.75</v>
      </c>
      <c r="K186" s="140" t="str">
        <f>IF(AND(J186&gt;=$C$6,J186&lt;=$D$6),$B$6,IF(AND(J186&gt;=$C$5,J186&lt;=$D$5),$B$5,IF(AND(J186&gt;=$C$4,J186&lt;=$D$4),$B$4,IF(AND(J186&gt;=#REF!,J186&lt;=#REF!),#REF!))))</f>
        <v>Medium</v>
      </c>
    </row>
    <row r="187" spans="2:11" s="132" customFormat="1" x14ac:dyDescent="0.25">
      <c r="B187" s="137" t="s">
        <v>1378</v>
      </c>
      <c r="C187" s="142">
        <v>1</v>
      </c>
      <c r="D187" s="142">
        <v>1</v>
      </c>
      <c r="E187" s="138">
        <v>1</v>
      </c>
      <c r="F187" s="138">
        <v>1</v>
      </c>
      <c r="G187" s="139">
        <f t="shared" si="6"/>
        <v>1</v>
      </c>
      <c r="H187" s="140" t="str">
        <f>IF(AND(G187&gt;=$C$6,G187&lt;=$D$6),$B$6,IF(AND(G187&gt;=$C$5,G187&lt;=$D$5),$B$5,IF(AND(G187&gt;=$C$4,G187&lt;=$D$4),$B$4,IF(AND(G187&gt;=#REF!,G187&lt;=#REF!),#REF!))))</f>
        <v>Low</v>
      </c>
      <c r="I187" s="140"/>
      <c r="J187" s="141">
        <f t="shared" si="7"/>
        <v>1</v>
      </c>
      <c r="K187" s="140" t="str">
        <f>IF(AND(J187&gt;=$C$6,J187&lt;=$D$6),$B$6,IF(AND(J187&gt;=$C$5,J187&lt;=$D$5),$B$5,IF(AND(J187&gt;=$C$4,J187&lt;=$D$4),$B$4,IF(AND(J187&gt;=#REF!,J187&lt;=#REF!),#REF!))))</f>
        <v>Low</v>
      </c>
    </row>
    <row r="188" spans="2:11" s="132" customFormat="1" x14ac:dyDescent="0.25">
      <c r="B188" s="137" t="s">
        <v>54</v>
      </c>
      <c r="C188" s="138">
        <f>[11]FATF!D180</f>
        <v>1</v>
      </c>
      <c r="D188" s="138">
        <f>[11]BASEL!H181</f>
        <v>2</v>
      </c>
      <c r="E188" s="138">
        <v>1</v>
      </c>
      <c r="F188" s="138">
        <v>1</v>
      </c>
      <c r="G188" s="139">
        <f t="shared" si="6"/>
        <v>1.35</v>
      </c>
      <c r="H188" s="140" t="str">
        <f>IF(AND(G188&gt;=$C$6,G188&lt;=$D$6),$B$6,IF(AND(G188&gt;=$C$5,G188&lt;=$D$5),$B$5,IF(AND(G188&gt;=$C$4,G188&lt;=$D$4),$B$4,IF(AND(G188&gt;=#REF!,G188&lt;=#REF!),#REF!))))</f>
        <v>Medium</v>
      </c>
      <c r="I188" s="140"/>
      <c r="J188" s="141">
        <f t="shared" si="7"/>
        <v>1.35</v>
      </c>
      <c r="K188" s="140" t="str">
        <f>IF(AND(J188&gt;=$C$6,J188&lt;=$D$6),$B$6,IF(AND(J188&gt;=$C$5,J188&lt;=$D$5),$B$5,IF(AND(J188&gt;=$C$4,J188&lt;=$D$4),$B$4,IF(AND(J188&gt;=#REF!,J188&lt;=#REF!),#REF!))))</f>
        <v>Medium</v>
      </c>
    </row>
    <row r="189" spans="2:11" s="132" customFormat="1" x14ac:dyDescent="0.25">
      <c r="B189" s="137" t="s">
        <v>55</v>
      </c>
      <c r="C189" s="138">
        <f>[11]FATF!D181</f>
        <v>1</v>
      </c>
      <c r="D189" s="138">
        <f>[11]BASEL!H182</f>
        <v>2</v>
      </c>
      <c r="E189" s="138">
        <v>1</v>
      </c>
      <c r="F189" s="138">
        <v>1</v>
      </c>
      <c r="G189" s="139">
        <f t="shared" si="6"/>
        <v>1.35</v>
      </c>
      <c r="H189" s="140" t="str">
        <f>IF(AND(G189&gt;=$C$6,G189&lt;=$D$6),$B$6,IF(AND(G189&gt;=$C$5,G189&lt;=$D$5),$B$5,IF(AND(G189&gt;=$C$4,G189&lt;=$D$4),$B$4,IF(AND(G189&gt;=#REF!,G189&lt;=#REF!),#REF!))))</f>
        <v>Medium</v>
      </c>
      <c r="I189" s="140"/>
      <c r="J189" s="141">
        <f t="shared" si="7"/>
        <v>1.35</v>
      </c>
      <c r="K189" s="140" t="str">
        <f>IF(AND(J189&gt;=$C$6,J189&lt;=$D$6),$B$6,IF(AND(J189&gt;=$C$5,J189&lt;=$D$5),$B$5,IF(AND(J189&gt;=$C$4,J189&lt;=$D$4),$B$4,IF(AND(J189&gt;=#REF!,J189&lt;=#REF!),#REF!))))</f>
        <v>Medium</v>
      </c>
    </row>
    <row r="190" spans="2:11" s="132" customFormat="1" x14ac:dyDescent="0.25">
      <c r="B190" s="137" t="s">
        <v>221</v>
      </c>
      <c r="C190" s="138">
        <f>[11]FATF!D182</f>
        <v>0</v>
      </c>
      <c r="D190" s="138">
        <f>[11]BASEL!H183</f>
        <v>2</v>
      </c>
      <c r="E190" s="138">
        <v>1</v>
      </c>
      <c r="F190" s="138">
        <v>1</v>
      </c>
      <c r="G190" s="139">
        <f t="shared" si="6"/>
        <v>1.05</v>
      </c>
      <c r="H190" s="140" t="str">
        <f>IF(AND(G190&gt;=$C$6,G190&lt;=$D$6),$B$6,IF(AND(G190&gt;=$C$5,G190&lt;=$D$5),$B$5,IF(AND(G190&gt;=$C$4,G190&lt;=$D$4),$B$4,IF(AND(G190&gt;=#REF!,G190&lt;=#REF!),#REF!))))</f>
        <v>Medium</v>
      </c>
      <c r="I190" s="140"/>
      <c r="J190" s="141">
        <f t="shared" si="7"/>
        <v>1.05</v>
      </c>
      <c r="K190" s="140" t="str">
        <f>IF(AND(J190&gt;=$C$6,J190&lt;=$D$6),$B$6,IF(AND(J190&gt;=$C$5,J190&lt;=$D$5),$B$5,IF(AND(J190&gt;=$C$4,J190&lt;=$D$4),$B$4,IF(AND(J190&gt;=#REF!,J190&lt;=#REF!),#REF!))))</f>
        <v>Medium</v>
      </c>
    </row>
    <row r="191" spans="2:11" s="132" customFormat="1" x14ac:dyDescent="0.25">
      <c r="B191" s="137" t="s">
        <v>56</v>
      </c>
      <c r="C191" s="138">
        <f>[11]FATF!D183</f>
        <v>1</v>
      </c>
      <c r="D191" s="138">
        <f>[11]BASEL!H184</f>
        <v>2</v>
      </c>
      <c r="E191" s="138">
        <v>1</v>
      </c>
      <c r="F191" s="138">
        <v>1</v>
      </c>
      <c r="G191" s="139">
        <f t="shared" si="6"/>
        <v>1.35</v>
      </c>
      <c r="H191" s="140" t="str">
        <f>IF(AND(G191&gt;=$C$6,G191&lt;=$D$6),$B$6,IF(AND(G191&gt;=$C$5,G191&lt;=$D$5),$B$5,IF(AND(G191&gt;=$C$4,G191&lt;=$D$4),$B$4,IF(AND(G191&gt;=#REF!,G191&lt;=#REF!),#REF!))))</f>
        <v>Medium</v>
      </c>
      <c r="I191" s="140"/>
      <c r="J191" s="141">
        <f t="shared" si="7"/>
        <v>1.35</v>
      </c>
      <c r="K191" s="140" t="str">
        <f>IF(AND(J191&gt;=$C$6,J191&lt;=$D$6),$B$6,IF(AND(J191&gt;=$C$5,J191&lt;=$D$5),$B$5,IF(AND(J191&gt;=$C$4,J191&lt;=$D$4),$B$4,IF(AND(J191&gt;=#REF!,J191&lt;=#REF!),#REF!))))</f>
        <v>Medium</v>
      </c>
    </row>
    <row r="192" spans="2:11" s="132" customFormat="1" x14ac:dyDescent="0.25">
      <c r="B192" s="137" t="s">
        <v>222</v>
      </c>
      <c r="C192" s="138">
        <f>[11]FATF!D184</f>
        <v>1</v>
      </c>
      <c r="D192" s="138">
        <f>[11]BASEL!H185</f>
        <v>3</v>
      </c>
      <c r="E192" s="138">
        <v>1</v>
      </c>
      <c r="F192" s="138">
        <v>1</v>
      </c>
      <c r="G192" s="139">
        <f t="shared" si="6"/>
        <v>1.7</v>
      </c>
      <c r="H192" s="140" t="str">
        <f>IF(AND(G192&gt;=$C$6,G192&lt;=$D$6),$B$6,IF(AND(G192&gt;=$C$5,G192&lt;=$D$5),$B$5,IF(AND(G192&gt;=$C$4,G192&lt;=$D$4),$B$4,IF(AND(G192&gt;=#REF!,G192&lt;=#REF!),#REF!))))</f>
        <v>Medium</v>
      </c>
      <c r="I192" s="140"/>
      <c r="J192" s="141">
        <f t="shared" si="7"/>
        <v>1.7</v>
      </c>
      <c r="K192" s="140" t="str">
        <f>IF(AND(J192&gt;=$C$6,J192&lt;=$D$6),$B$6,IF(AND(J192&gt;=$C$5,J192&lt;=$D$5),$B$5,IF(AND(J192&gt;=$C$4,J192&lt;=$D$4),$B$4,IF(AND(J192&gt;=#REF!,J192&lt;=#REF!),#REF!))))</f>
        <v>Medium</v>
      </c>
    </row>
    <row r="193" spans="2:11" s="132" customFormat="1" x14ac:dyDescent="0.25">
      <c r="B193" s="137" t="s">
        <v>1379</v>
      </c>
      <c r="C193" s="138">
        <f>[11]FATF!D185</f>
        <v>1</v>
      </c>
      <c r="D193" s="142">
        <v>2</v>
      </c>
      <c r="E193" s="138">
        <v>1</v>
      </c>
      <c r="F193" s="138">
        <v>1</v>
      </c>
      <c r="G193" s="139">
        <f t="shared" si="6"/>
        <v>1.35</v>
      </c>
      <c r="H193" s="140" t="str">
        <f>IF(AND(G193&gt;=$C$6,G193&lt;=$D$6),$B$6,IF(AND(G193&gt;=$C$5,G193&lt;=$D$5),$B$5,IF(AND(G193&gt;=$C$4,G193&lt;=$D$4),$B$4,IF(AND(G193&gt;=#REF!,G193&lt;=#REF!),#REF!))))</f>
        <v>Medium</v>
      </c>
      <c r="I193" s="140"/>
      <c r="J193" s="141">
        <f t="shared" si="7"/>
        <v>1.35</v>
      </c>
      <c r="K193" s="140" t="str">
        <f>IF(AND(J193&gt;=$C$6,J193&lt;=$D$6),$B$6,IF(AND(J193&gt;=$C$5,J193&lt;=$D$5),$B$5,IF(AND(J193&gt;=$C$4,J193&lt;=$D$4),$B$4,IF(AND(J193&gt;=#REF!,J193&lt;=#REF!),#REF!))))</f>
        <v>Medium</v>
      </c>
    </row>
    <row r="194" spans="2:11" x14ac:dyDescent="0.25">
      <c r="B194" s="137" t="s">
        <v>1380</v>
      </c>
      <c r="C194" s="142">
        <v>1</v>
      </c>
      <c r="D194" s="142">
        <v>1</v>
      </c>
      <c r="E194" s="138">
        <v>1</v>
      </c>
      <c r="F194" s="138">
        <v>1</v>
      </c>
      <c r="G194" s="139">
        <f t="shared" si="6"/>
        <v>1</v>
      </c>
      <c r="H194" s="140" t="str">
        <f>IF(AND(G194&gt;=$C$6,G194&lt;=$D$6),$B$6,IF(AND(G194&gt;=$C$5,G194&lt;=$D$5),$B$5,IF(AND(G194&gt;=$C$4,G194&lt;=$D$4),$B$4,IF(AND(G194&gt;=#REF!,G194&lt;=#REF!),#REF!))))</f>
        <v>Low</v>
      </c>
      <c r="I194" s="140"/>
      <c r="J194" s="141">
        <f t="shared" si="7"/>
        <v>1</v>
      </c>
      <c r="K194" s="140" t="str">
        <f>IF(AND(J194&gt;=$C$6,J194&lt;=$D$6),$B$6,IF(AND(J194&gt;=$C$5,J194&lt;=$D$5),$B$5,IF(AND(J194&gt;=$C$4,J194&lt;=$D$4),$B$4,IF(AND(J194&gt;=#REF!,J194&lt;=#REF!),#REF!))))</f>
        <v>Low</v>
      </c>
    </row>
    <row r="195" spans="2:11" s="132" customFormat="1" x14ac:dyDescent="0.25">
      <c r="B195" s="164" t="s">
        <v>57</v>
      </c>
      <c r="C195" s="138">
        <f>[11]FATF!D187</f>
        <v>1</v>
      </c>
      <c r="D195" s="138">
        <f>[11]BASEL!H188</f>
        <v>2</v>
      </c>
      <c r="E195" s="138">
        <v>2</v>
      </c>
      <c r="F195" s="138">
        <v>1</v>
      </c>
      <c r="G195" s="139">
        <f t="shared" si="6"/>
        <v>1.6500000000000001</v>
      </c>
      <c r="H195" s="140" t="str">
        <f>IF(AND(G195&gt;=$C$6,G195&lt;=$D$6),$B$6,IF(AND(G195&gt;=$C$5,G195&lt;=$D$5),$B$5,IF(AND(G195&gt;=$C$4,G195&lt;=$D$4),$B$4,IF(AND(G195&gt;=#REF!,G195&lt;=#REF!),#REF!))))</f>
        <v>Medium</v>
      </c>
      <c r="I195" s="140"/>
      <c r="J195" s="141">
        <f t="shared" si="7"/>
        <v>1.6500000000000001</v>
      </c>
      <c r="K195" s="140" t="str">
        <f>IF(AND(J195&gt;=$C$6,J195&lt;=$D$6),$B$6,IF(AND(J195&gt;=$C$5,J195&lt;=$D$5),$B$5,IF(AND(J195&gt;=$C$4,J195&lt;=$D$4),$B$4,IF(AND(J195&gt;=#REF!,J195&lt;=#REF!),#REF!))))</f>
        <v>Medium</v>
      </c>
    </row>
    <row r="196" spans="2:11" s="132" customFormat="1" x14ac:dyDescent="0.25">
      <c r="B196" s="137" t="s">
        <v>223</v>
      </c>
      <c r="C196" s="138">
        <f>[11]FATF!D188</f>
        <v>1</v>
      </c>
      <c r="D196" s="138">
        <f>[11]BASEL!H189</f>
        <v>2</v>
      </c>
      <c r="E196" s="138">
        <v>2</v>
      </c>
      <c r="F196" s="138">
        <v>1</v>
      </c>
      <c r="G196" s="139">
        <f t="shared" si="6"/>
        <v>1.6500000000000001</v>
      </c>
      <c r="H196" s="140" t="str">
        <f>IF(AND(G196&gt;=$C$6,G196&lt;=$D$6),$B$6,IF(AND(G196&gt;=$C$5,G196&lt;=$D$5),$B$5,IF(AND(G196&gt;=$C$4,G196&lt;=$D$4),$B$4,IF(AND(G196&gt;=#REF!,G196&lt;=#REF!),#REF!))))</f>
        <v>Medium</v>
      </c>
      <c r="I196" s="167" t="s">
        <v>1394</v>
      </c>
      <c r="J196" s="141">
        <v>3</v>
      </c>
      <c r="K196" s="140" t="str">
        <f>IF(AND(J196&gt;=$C$6,J196&lt;=$D$6),$B$6,IF(AND(J196&gt;=$C$5,J196&lt;=$D$5),$B$5,IF(AND(J196&gt;=$C$4,J196&lt;=$D$4),$B$4,IF(AND(J196&gt;=#REF!,J196&lt;=#REF!),#REF!))))</f>
        <v>High</v>
      </c>
    </row>
    <row r="197" spans="2:11" s="132" customFormat="1" x14ac:dyDescent="0.25">
      <c r="B197" s="137" t="s">
        <v>58</v>
      </c>
      <c r="C197" s="138">
        <f>[11]FATF!D189</f>
        <v>1</v>
      </c>
      <c r="D197" s="138">
        <f>[11]BASEL!H190</f>
        <v>2</v>
      </c>
      <c r="E197" s="138">
        <v>1</v>
      </c>
      <c r="F197" s="138">
        <v>1</v>
      </c>
      <c r="G197" s="139">
        <f t="shared" si="6"/>
        <v>1.35</v>
      </c>
      <c r="H197" s="140" t="str">
        <f>IF(AND(G197&gt;=$C$6,G197&lt;=$D$6),$B$6,IF(AND(G197&gt;=$C$5,G197&lt;=$D$5),$B$5,IF(AND(G197&gt;=$C$4,G197&lt;=$D$4),$B$4,IF(AND(G197&gt;=#REF!,G197&lt;=#REF!),#REF!))))</f>
        <v>Medium</v>
      </c>
      <c r="I197" s="140"/>
      <c r="J197" s="141">
        <f t="shared" si="7"/>
        <v>1.35</v>
      </c>
      <c r="K197" s="140" t="str">
        <f>IF(AND(J197&gt;=$C$6,J197&lt;=$D$6),$B$6,IF(AND(J197&gt;=$C$5,J197&lt;=$D$5),$B$5,IF(AND(J197&gt;=$C$4,J197&lt;=$D$4),$B$4,IF(AND(J197&gt;=#REF!,J197&lt;=#REF!),#REF!))))</f>
        <v>Medium</v>
      </c>
    </row>
    <row r="198" spans="2:11" s="132" customFormat="1" x14ac:dyDescent="0.25">
      <c r="B198" s="137" t="s">
        <v>1381</v>
      </c>
      <c r="C198" s="142">
        <v>1</v>
      </c>
      <c r="D198" s="142">
        <v>1</v>
      </c>
      <c r="E198" s="138">
        <v>1</v>
      </c>
      <c r="F198" s="138">
        <v>1</v>
      </c>
      <c r="G198" s="139">
        <f t="shared" si="6"/>
        <v>1</v>
      </c>
      <c r="H198" s="140" t="str">
        <f>IF(AND(G198&gt;=$C$6,G198&lt;=$D$6),$B$6,IF(AND(G198&gt;=$C$5,G198&lt;=$D$5),$B$5,IF(AND(G198&gt;=$C$4,G198&lt;=$D$4),$B$4,IF(AND(G198&gt;=#REF!,G198&lt;=#REF!),#REF!))))</f>
        <v>Low</v>
      </c>
      <c r="I198" s="140"/>
      <c r="J198" s="141">
        <f t="shared" si="7"/>
        <v>1</v>
      </c>
      <c r="K198" s="140" t="str">
        <f>IF(AND(J198&gt;=$C$6,J198&lt;=$D$6),$B$6,IF(AND(J198&gt;=$C$5,J198&lt;=$D$5),$B$5,IF(AND(J198&gt;=$C$4,J198&lt;=$D$4),$B$4,IF(AND(J198&gt;=#REF!,J198&lt;=#REF!),#REF!))))</f>
        <v>Low</v>
      </c>
    </row>
    <row r="199" spans="2:11" s="132" customFormat="1" x14ac:dyDescent="0.25">
      <c r="B199" s="137" t="s">
        <v>1382</v>
      </c>
      <c r="C199" s="142">
        <v>1</v>
      </c>
      <c r="D199" s="142">
        <v>1</v>
      </c>
      <c r="E199" s="138">
        <v>1</v>
      </c>
      <c r="F199" s="138">
        <v>1</v>
      </c>
      <c r="G199" s="139">
        <f t="shared" si="6"/>
        <v>1</v>
      </c>
      <c r="H199" s="140" t="str">
        <f>IF(AND(G199&gt;=$C$6,G199&lt;=$D$6),$B$6,IF(AND(G199&gt;=$C$5,G199&lt;=$D$5),$B$5,IF(AND(G199&gt;=$C$4,G199&lt;=$D$4),$B$4,IF(AND(G199&gt;=#REF!,G199&lt;=#REF!),#REF!))))</f>
        <v>Low</v>
      </c>
      <c r="I199" s="140"/>
      <c r="J199" s="141">
        <f t="shared" si="7"/>
        <v>1</v>
      </c>
      <c r="K199" s="140" t="str">
        <f>IF(AND(J199&gt;=$C$6,J199&lt;=$D$6),$B$6,IF(AND(J199&gt;=$C$5,J199&lt;=$D$5),$B$5,IF(AND(J199&gt;=$C$4,J199&lt;=$D$4),$B$4,IF(AND(J199&gt;=#REF!,J199&lt;=#REF!),#REF!))))</f>
        <v>Low</v>
      </c>
    </row>
    <row r="200" spans="2:11" s="132" customFormat="1" x14ac:dyDescent="0.25">
      <c r="B200" s="137" t="s">
        <v>1383</v>
      </c>
      <c r="C200" s="142">
        <v>1</v>
      </c>
      <c r="D200" s="142">
        <v>1</v>
      </c>
      <c r="E200" s="138">
        <v>1</v>
      </c>
      <c r="F200" s="138">
        <v>1</v>
      </c>
      <c r="G200" s="139">
        <f t="shared" si="6"/>
        <v>1</v>
      </c>
      <c r="H200" s="140" t="str">
        <f>IF(AND(G200&gt;=$C$6,G200&lt;=$D$6),$B$6,IF(AND(G200&gt;=$C$5,G200&lt;=$D$5),$B$5,IF(AND(G200&gt;=$C$4,G200&lt;=$D$4),$B$4,IF(AND(G200&gt;=#REF!,G200&lt;=#REF!),#REF!))))</f>
        <v>Low</v>
      </c>
      <c r="I200" s="140"/>
      <c r="J200" s="141">
        <f t="shared" si="7"/>
        <v>1</v>
      </c>
      <c r="K200" s="140" t="str">
        <f>IF(AND(J200&gt;=$C$6,J200&lt;=$D$6),$B$6,IF(AND(J200&gt;=$C$5,J200&lt;=$D$5),$B$5,IF(AND(J200&gt;=$C$4,J200&lt;=$D$4),$B$4,IF(AND(J200&gt;=#REF!,J200&lt;=#REF!),#REF!))))</f>
        <v>Low</v>
      </c>
    </row>
    <row r="201" spans="2:11" s="132" customFormat="1" x14ac:dyDescent="0.25">
      <c r="B201" s="137" t="s">
        <v>1384</v>
      </c>
      <c r="C201" s="142">
        <v>1</v>
      </c>
      <c r="D201" s="142">
        <v>1</v>
      </c>
      <c r="E201" s="138">
        <v>1</v>
      </c>
      <c r="F201" s="138">
        <v>1</v>
      </c>
      <c r="G201" s="139">
        <f t="shared" si="6"/>
        <v>1</v>
      </c>
      <c r="H201" s="140" t="str">
        <f>IF(AND(G201&gt;=$C$6,G201&lt;=$D$6),$B$6,IF(AND(G201&gt;=$C$5,G201&lt;=$D$5),$B$5,IF(AND(G201&gt;=$C$4,G201&lt;=$D$4),$B$4,IF(AND(G201&gt;=#REF!,G201&lt;=#REF!),#REF!))))</f>
        <v>Low</v>
      </c>
      <c r="I201" s="140"/>
      <c r="J201" s="141">
        <f t="shared" si="7"/>
        <v>1</v>
      </c>
      <c r="K201" s="140" t="str">
        <f>IF(AND(J201&gt;=$C$6,J201&lt;=$D$6),$B$6,IF(AND(J201&gt;=$C$5,J201&lt;=$D$5),$B$5,IF(AND(J201&gt;=$C$4,J201&lt;=$D$4),$B$4,IF(AND(J201&gt;=#REF!,J201&lt;=#REF!),#REF!))))</f>
        <v>Low</v>
      </c>
    </row>
    <row r="202" spans="2:11" s="132" customFormat="1" x14ac:dyDescent="0.25">
      <c r="B202" s="137" t="s">
        <v>225</v>
      </c>
      <c r="C202" s="138">
        <f>[11]FATF!D194</f>
        <v>1</v>
      </c>
      <c r="D202" s="138">
        <f>[11]BASEL!H195</f>
        <v>2</v>
      </c>
      <c r="E202" s="138">
        <v>1</v>
      </c>
      <c r="F202" s="138">
        <v>1</v>
      </c>
      <c r="G202" s="139">
        <f t="shared" si="6"/>
        <v>1.35</v>
      </c>
      <c r="H202" s="140" t="str">
        <f>IF(AND(G202&gt;=$C$6,G202&lt;=$D$6),$B$6,IF(AND(G202&gt;=$C$5,G202&lt;=$D$5),$B$5,IF(AND(G202&gt;=$C$4,G202&lt;=$D$4),$B$4,IF(AND(G202&gt;=#REF!,G202&lt;=#REF!),#REF!))))</f>
        <v>Medium</v>
      </c>
      <c r="I202" s="140"/>
      <c r="J202" s="141">
        <f t="shared" si="7"/>
        <v>1.35</v>
      </c>
      <c r="K202" s="140" t="str">
        <f>IF(AND(J202&gt;=$C$6,J202&lt;=$D$6),$B$6,IF(AND(J202&gt;=$C$5,J202&lt;=$D$5),$B$5,IF(AND(J202&gt;=$C$4,J202&lt;=$D$4),$B$4,IF(AND(J202&gt;=#REF!,J202&lt;=#REF!),#REF!))))</f>
        <v>Medium</v>
      </c>
    </row>
    <row r="203" spans="2:11" s="132" customFormat="1" x14ac:dyDescent="0.25">
      <c r="B203" s="137" t="s">
        <v>224</v>
      </c>
      <c r="C203" s="138">
        <f>[11]FATF!D195</f>
        <v>1</v>
      </c>
      <c r="D203" s="138">
        <f>[11]BASEL!H196</f>
        <v>1</v>
      </c>
      <c r="E203" s="138">
        <v>1</v>
      </c>
      <c r="F203" s="138">
        <v>1</v>
      </c>
      <c r="G203" s="139">
        <f t="shared" si="6"/>
        <v>1</v>
      </c>
      <c r="H203" s="140" t="str">
        <f>IF(AND(G203&gt;=$C$6,G203&lt;=$D$6),$B$6,IF(AND(G203&gt;=$C$5,G203&lt;=$D$5),$B$5,IF(AND(G203&gt;=$C$4,G203&lt;=$D$4),$B$4,IF(AND(G203&gt;=#REF!,G203&lt;=#REF!),#REF!))))</f>
        <v>Low</v>
      </c>
      <c r="I203" s="140"/>
      <c r="J203" s="141">
        <f t="shared" si="7"/>
        <v>1</v>
      </c>
      <c r="K203" s="140" t="str">
        <f>IF(AND(J203&gt;=$C$6,J203&lt;=$D$6),$B$6,IF(AND(J203&gt;=$C$5,J203&lt;=$D$5),$B$5,IF(AND(J203&gt;=$C$4,J203&lt;=$D$4),$B$4,IF(AND(J203&gt;=#REF!,J203&lt;=#REF!),#REF!))))</f>
        <v>Low</v>
      </c>
    </row>
    <row r="204" spans="2:11" s="132" customFormat="1" x14ac:dyDescent="0.25">
      <c r="B204" s="137" t="s">
        <v>226</v>
      </c>
      <c r="C204" s="138">
        <f>[11]FATF!D196</f>
        <v>1</v>
      </c>
      <c r="D204" s="138">
        <f>[11]BASEL!H197</f>
        <v>3</v>
      </c>
      <c r="E204" s="138">
        <v>1</v>
      </c>
      <c r="F204" s="138">
        <v>1</v>
      </c>
      <c r="G204" s="139">
        <f t="shared" ref="G204:G261" si="8">C204*$C$9+D204*$D$9+E204*$E$9+F204*$F$9</f>
        <v>1.7</v>
      </c>
      <c r="H204" s="140" t="str">
        <f>IF(AND(G204&gt;=$C$6,G204&lt;=$D$6),$B$6,IF(AND(G204&gt;=$C$5,G204&lt;=$D$5),$B$5,IF(AND(G204&gt;=$C$4,G204&lt;=$D$4),$B$4,IF(AND(G204&gt;=#REF!,G204&lt;=#REF!),#REF!))))</f>
        <v>Medium</v>
      </c>
      <c r="I204" s="140"/>
      <c r="J204" s="141">
        <f t="shared" ref="J204:J261" si="9">IF(OR(I204="Prohibited", I204="FATF Grey List"), IF(I204="Prohibited", 4, 3), G204)</f>
        <v>1.7</v>
      </c>
      <c r="K204" s="140" t="str">
        <f>IF(AND(J204&gt;=$C$6,J204&lt;=$D$6),$B$6,IF(AND(J204&gt;=$C$5,J204&lt;=$D$5),$B$5,IF(AND(J204&gt;=$C$4,J204&lt;=$D$4),$B$4,IF(AND(J204&gt;=#REF!,J204&lt;=#REF!),#REF!))))</f>
        <v>Medium</v>
      </c>
    </row>
    <row r="205" spans="2:11" s="132" customFormat="1" x14ac:dyDescent="0.25">
      <c r="B205" s="137" t="s">
        <v>227</v>
      </c>
      <c r="C205" s="138">
        <f>[11]FATF!D197</f>
        <v>1</v>
      </c>
      <c r="D205" s="138">
        <f>[11]BASEL!H198</f>
        <v>2</v>
      </c>
      <c r="E205" s="138">
        <v>1</v>
      </c>
      <c r="F205" s="138">
        <v>1</v>
      </c>
      <c r="G205" s="139">
        <f t="shared" si="8"/>
        <v>1.35</v>
      </c>
      <c r="H205" s="140" t="str">
        <f>IF(AND(G205&gt;=$C$6,G205&lt;=$D$6),$B$6,IF(AND(G205&gt;=$C$5,G205&lt;=$D$5),$B$5,IF(AND(G205&gt;=$C$4,G205&lt;=$D$4),$B$4,IF(AND(G205&gt;=#REF!,G205&lt;=#REF!),#REF!))))</f>
        <v>Medium</v>
      </c>
      <c r="I205" s="140"/>
      <c r="J205" s="141">
        <f t="shared" si="9"/>
        <v>1.35</v>
      </c>
      <c r="K205" s="140" t="str">
        <f>IF(AND(J205&gt;=$C$6,J205&lt;=$D$6),$B$6,IF(AND(J205&gt;=$C$5,J205&lt;=$D$5),$B$5,IF(AND(J205&gt;=$C$4,J205&lt;=$D$4),$B$4,IF(AND(J205&gt;=#REF!,J205&lt;=#REF!),#REF!))))</f>
        <v>Medium</v>
      </c>
    </row>
    <row r="206" spans="2:11" s="132" customFormat="1" x14ac:dyDescent="0.25">
      <c r="B206" s="137" t="s">
        <v>228</v>
      </c>
      <c r="C206" s="138">
        <f>[11]FATF!D198</f>
        <v>2</v>
      </c>
      <c r="D206" s="138">
        <f>[11]BASEL!H199</f>
        <v>2</v>
      </c>
      <c r="E206" s="138">
        <v>1</v>
      </c>
      <c r="F206" s="138">
        <v>3</v>
      </c>
      <c r="G206" s="139">
        <f t="shared" si="8"/>
        <v>1.75</v>
      </c>
      <c r="H206" s="140" t="str">
        <f>IF(AND(G206&gt;=$C$6,G206&lt;=$D$6),$B$6,IF(AND(G206&gt;=$C$5,G206&lt;=$D$5),$B$5,IF(AND(G206&gt;=$C$4,G206&lt;=$D$4),$B$4,IF(AND(G206&gt;=#REF!,G206&lt;=#REF!),#REF!))))</f>
        <v>Medium</v>
      </c>
      <c r="I206" s="140"/>
      <c r="J206" s="141">
        <f t="shared" si="9"/>
        <v>1.75</v>
      </c>
      <c r="K206" s="140" t="str">
        <f>IF(AND(J206&gt;=$C$6,J206&lt;=$D$6),$B$6,IF(AND(J206&gt;=$C$5,J206&lt;=$D$5),$B$5,IF(AND(J206&gt;=$C$4,J206&lt;=$D$4),$B$4,IF(AND(J206&gt;=#REF!,J206&lt;=#REF!),#REF!))))</f>
        <v>Medium</v>
      </c>
    </row>
    <row r="207" spans="2:11" s="132" customFormat="1" x14ac:dyDescent="0.25">
      <c r="B207" s="137" t="s">
        <v>229</v>
      </c>
      <c r="C207" s="138">
        <f>[11]FATF!D199</f>
        <v>1</v>
      </c>
      <c r="D207" s="138">
        <f>[11]BASEL!H200</f>
        <v>2</v>
      </c>
      <c r="E207" s="138">
        <v>2</v>
      </c>
      <c r="F207" s="138">
        <v>1</v>
      </c>
      <c r="G207" s="139">
        <f t="shared" si="8"/>
        <v>1.6500000000000001</v>
      </c>
      <c r="H207" s="140" t="str">
        <f>IF(AND(G207&gt;=$C$6,G207&lt;=$D$6),$B$6,IF(AND(G207&gt;=$C$5,G207&lt;=$D$5),$B$5,IF(AND(G207&gt;=$C$4,G207&lt;=$D$4),$B$4,IF(AND(G207&gt;=#REF!,G207&lt;=#REF!),#REF!))))</f>
        <v>Medium</v>
      </c>
      <c r="I207" s="140"/>
      <c r="J207" s="141">
        <f t="shared" si="9"/>
        <v>1.6500000000000001</v>
      </c>
      <c r="K207" s="140" t="str">
        <f>IF(AND(J207&gt;=$C$6,J207&lt;=$D$6),$B$6,IF(AND(J207&gt;=$C$5,J207&lt;=$D$5),$B$5,IF(AND(J207&gt;=$C$4,J207&lt;=$D$4),$B$4,IF(AND(J207&gt;=#REF!,J207&lt;=#REF!),#REF!))))</f>
        <v>Medium</v>
      </c>
    </row>
    <row r="208" spans="2:11" s="132" customFormat="1" x14ac:dyDescent="0.25">
      <c r="B208" s="137" t="s">
        <v>59</v>
      </c>
      <c r="C208" s="138">
        <f>[11]FATF!D200</f>
        <v>1</v>
      </c>
      <c r="D208" s="138">
        <f>[11]BASEL!H201</f>
        <v>2</v>
      </c>
      <c r="E208" s="138">
        <v>1</v>
      </c>
      <c r="F208" s="138">
        <v>1</v>
      </c>
      <c r="G208" s="139">
        <f t="shared" si="8"/>
        <v>1.35</v>
      </c>
      <c r="H208" s="140" t="str">
        <f>IF(AND(G208&gt;=$C$6,G208&lt;=$D$6),$B$6,IF(AND(G208&gt;=$C$5,G208&lt;=$D$5),$B$5,IF(AND(G208&gt;=$C$4,G208&lt;=$D$4),$B$4,IF(AND(G208&gt;=#REF!,G208&lt;=#REF!),#REF!))))</f>
        <v>Medium</v>
      </c>
      <c r="I208" s="140"/>
      <c r="J208" s="141">
        <f t="shared" si="9"/>
        <v>1.35</v>
      </c>
      <c r="K208" s="140" t="str">
        <f>IF(AND(J208&gt;=$C$6,J208&lt;=$D$6),$B$6,IF(AND(J208&gt;=$C$5,J208&lt;=$D$5),$B$5,IF(AND(J208&gt;=$C$4,J208&lt;=$D$4),$B$4,IF(AND(J208&gt;=#REF!,J208&lt;=#REF!),#REF!))))</f>
        <v>Medium</v>
      </c>
    </row>
    <row r="209" spans="2:11" s="132" customFormat="1" x14ac:dyDescent="0.25">
      <c r="B209" s="137" t="s">
        <v>60</v>
      </c>
      <c r="C209" s="138">
        <f>[11]FATF!D201</f>
        <v>1</v>
      </c>
      <c r="D209" s="138">
        <f>[11]BASEL!H202</f>
        <v>3</v>
      </c>
      <c r="E209" s="138">
        <v>1</v>
      </c>
      <c r="F209" s="138">
        <v>1</v>
      </c>
      <c r="G209" s="139">
        <f t="shared" si="8"/>
        <v>1.7</v>
      </c>
      <c r="H209" s="140" t="str">
        <f>IF(AND(G209&gt;=$C$6,G209&lt;=$D$6),$B$6,IF(AND(G209&gt;=$C$5,G209&lt;=$D$5),$B$5,IF(AND(G209&gt;=$C$4,G209&lt;=$D$4),$B$4,IF(AND(G209&gt;=#REF!,G209&lt;=#REF!),#REF!))))</f>
        <v>Medium</v>
      </c>
      <c r="I209" s="140"/>
      <c r="J209" s="141">
        <f t="shared" si="9"/>
        <v>1.7</v>
      </c>
      <c r="K209" s="140" t="str">
        <f>IF(AND(J209&gt;=$C$6,J209&lt;=$D$6),$B$6,IF(AND(J209&gt;=$C$5,J209&lt;=$D$5),$B$5,IF(AND(J209&gt;=$C$4,J209&lt;=$D$4),$B$4,IF(AND(J209&gt;=#REF!,J209&lt;=#REF!),#REF!))))</f>
        <v>Medium</v>
      </c>
    </row>
    <row r="210" spans="2:11" s="132" customFormat="1" x14ac:dyDescent="0.25">
      <c r="B210" s="137" t="s">
        <v>61</v>
      </c>
      <c r="C210" s="138">
        <f>[11]FATF!D202</f>
        <v>1</v>
      </c>
      <c r="D210" s="138">
        <f>[11]BASEL!H203</f>
        <v>2</v>
      </c>
      <c r="E210" s="138">
        <v>1</v>
      </c>
      <c r="F210" s="138">
        <v>1</v>
      </c>
      <c r="G210" s="139">
        <f t="shared" si="8"/>
        <v>1.35</v>
      </c>
      <c r="H210" s="140" t="str">
        <f>IF(AND(G210&gt;=$C$6,G210&lt;=$D$6),$B$6,IF(AND(G210&gt;=$C$5,G210&lt;=$D$5),$B$5,IF(AND(G210&gt;=$C$4,G210&lt;=$D$4),$B$4,IF(AND(G210&gt;=#REF!,G210&lt;=#REF!),#REF!))))</f>
        <v>Medium</v>
      </c>
      <c r="I210" s="140"/>
      <c r="J210" s="141">
        <f t="shared" si="9"/>
        <v>1.35</v>
      </c>
      <c r="K210" s="140" t="str">
        <f>IF(AND(J210&gt;=$C$6,J210&lt;=$D$6),$B$6,IF(AND(J210&gt;=$C$5,J210&lt;=$D$5),$B$5,IF(AND(J210&gt;=$C$4,J210&lt;=$D$4),$B$4,IF(AND(J210&gt;=#REF!,J210&lt;=#REF!),#REF!))))</f>
        <v>Medium</v>
      </c>
    </row>
    <row r="211" spans="2:11" s="132" customFormat="1" x14ac:dyDescent="0.25">
      <c r="B211" s="137" t="s">
        <v>62</v>
      </c>
      <c r="C211" s="138">
        <f>[11]FATF!D203</f>
        <v>1</v>
      </c>
      <c r="D211" s="138">
        <f>[11]BASEL!H204</f>
        <v>2</v>
      </c>
      <c r="E211" s="138">
        <v>1</v>
      </c>
      <c r="F211" s="138">
        <v>1</v>
      </c>
      <c r="G211" s="139">
        <f t="shared" si="8"/>
        <v>1.35</v>
      </c>
      <c r="H211" s="140" t="str">
        <f>IF(AND(G211&gt;=$C$6,G211&lt;=$D$6),$B$6,IF(AND(G211&gt;=$C$5,G211&lt;=$D$5),$B$5,IF(AND(G211&gt;=$C$4,G211&lt;=$D$4),$B$4,IF(AND(G211&gt;=#REF!,G211&lt;=#REF!),#REF!))))</f>
        <v>Medium</v>
      </c>
      <c r="I211" s="140"/>
      <c r="J211" s="141">
        <f t="shared" si="9"/>
        <v>1.35</v>
      </c>
      <c r="K211" s="140" t="str">
        <f>IF(AND(J211&gt;=$C$6,J211&lt;=$D$6),$B$6,IF(AND(J211&gt;=$C$5,J211&lt;=$D$5),$B$5,IF(AND(J211&gt;=$C$4,J211&lt;=$D$4),$B$4,IF(AND(J211&gt;=#REF!,J211&lt;=#REF!),#REF!))))</f>
        <v>Medium</v>
      </c>
    </row>
    <row r="212" spans="2:11" s="132" customFormat="1" x14ac:dyDescent="0.25">
      <c r="B212" s="137" t="s">
        <v>230</v>
      </c>
      <c r="C212" s="138">
        <f>[11]FATF!D204</f>
        <v>1</v>
      </c>
      <c r="D212" s="138">
        <f>[11]BASEL!H205</f>
        <v>1</v>
      </c>
      <c r="E212" s="138">
        <v>2</v>
      </c>
      <c r="F212" s="138">
        <v>1</v>
      </c>
      <c r="G212" s="139">
        <f t="shared" si="8"/>
        <v>1.3</v>
      </c>
      <c r="H212" s="140" t="str">
        <f>IF(AND(G212&gt;=$C$6,G212&lt;=$D$6),$B$6,IF(AND(G212&gt;=$C$5,G212&lt;=$D$5),$B$5,IF(AND(G212&gt;=$C$4,G212&lt;=$D$4),$B$4,IF(AND(G212&gt;=#REF!,G212&lt;=#REF!),#REF!))))</f>
        <v>Medium</v>
      </c>
      <c r="I212" s="140"/>
      <c r="J212" s="141">
        <f t="shared" si="9"/>
        <v>1.3</v>
      </c>
      <c r="K212" s="140" t="str">
        <f>IF(AND(J212&gt;=$C$6,J212&lt;=$D$6),$B$6,IF(AND(J212&gt;=$C$5,J212&lt;=$D$5),$B$5,IF(AND(J212&gt;=$C$4,J212&lt;=$D$4),$B$4,IF(AND(J212&gt;=#REF!,J212&lt;=#REF!),#REF!))))</f>
        <v>Medium</v>
      </c>
    </row>
    <row r="213" spans="2:11" s="132" customFormat="1" x14ac:dyDescent="0.25">
      <c r="B213" s="137" t="s">
        <v>231</v>
      </c>
      <c r="C213" s="138">
        <f>[11]FATF!D205</f>
        <v>1</v>
      </c>
      <c r="D213" s="138">
        <f>[11]BASEL!H206</f>
        <v>2</v>
      </c>
      <c r="E213" s="138">
        <v>1</v>
      </c>
      <c r="F213" s="138">
        <v>1</v>
      </c>
      <c r="G213" s="139">
        <f t="shared" si="8"/>
        <v>1.35</v>
      </c>
      <c r="H213" s="140" t="str">
        <f>IF(AND(G213&gt;=$C$6,G213&lt;=$D$6),$B$6,IF(AND(G213&gt;=$C$5,G213&lt;=$D$5),$B$5,IF(AND(G213&gt;=$C$4,G213&lt;=$D$4),$B$4,IF(AND(G213&gt;=#REF!,G213&lt;=#REF!),#REF!))))</f>
        <v>Medium</v>
      </c>
      <c r="I213" s="140"/>
      <c r="J213" s="141">
        <f t="shared" si="9"/>
        <v>1.35</v>
      </c>
      <c r="K213" s="140" t="str">
        <f>IF(AND(J213&gt;=$C$6,J213&lt;=$D$6),$B$6,IF(AND(J213&gt;=$C$5,J213&lt;=$D$5),$B$5,IF(AND(J213&gt;=$C$4,J213&lt;=$D$4),$B$4,IF(AND(J213&gt;=#REF!,J213&lt;=#REF!),#REF!))))</f>
        <v>Medium</v>
      </c>
    </row>
    <row r="214" spans="2:11" s="132" customFormat="1" x14ac:dyDescent="0.25">
      <c r="B214" s="137" t="s">
        <v>63</v>
      </c>
      <c r="C214" s="138">
        <f>[11]FATF!D206</f>
        <v>1</v>
      </c>
      <c r="D214" s="138">
        <f>[11]BASEL!H207</f>
        <v>3</v>
      </c>
      <c r="E214" s="138">
        <v>2</v>
      </c>
      <c r="F214" s="138">
        <v>3</v>
      </c>
      <c r="G214" s="139">
        <f t="shared" si="8"/>
        <v>2.0999999999999996</v>
      </c>
      <c r="H214" s="140" t="str">
        <f>IF(AND(G214&gt;=$C$6,G214&lt;=$D$6),$B$6,IF(AND(G214&gt;=$C$5,G214&lt;=$D$5),$B$5,IF(AND(G214&gt;=$C$4,G214&lt;=$D$4),$B$4,IF(AND(G214&gt;=#REF!,G214&lt;=#REF!),#REF!))))</f>
        <v>High</v>
      </c>
      <c r="I214" s="140"/>
      <c r="J214" s="141">
        <f t="shared" si="9"/>
        <v>2.0999999999999996</v>
      </c>
      <c r="K214" s="140" t="str">
        <f>IF(AND(J214&gt;=$C$6,J214&lt;=$D$6),$B$6,IF(AND(J214&gt;=$C$5,J214&lt;=$D$5),$B$5,IF(AND(J214&gt;=$C$4,J214&lt;=$D$4),$B$4,IF(AND(J214&gt;=#REF!,J214&lt;=#REF!),#REF!))))</f>
        <v>High</v>
      </c>
    </row>
    <row r="215" spans="2:11" s="132" customFormat="1" x14ac:dyDescent="0.25">
      <c r="B215" s="137" t="s">
        <v>64</v>
      </c>
      <c r="C215" s="138">
        <f>[11]FATF!D207</f>
        <v>2</v>
      </c>
      <c r="D215" s="138">
        <f>[11]BASEL!H208</f>
        <v>2</v>
      </c>
      <c r="E215" s="138">
        <v>1</v>
      </c>
      <c r="F215" s="138">
        <v>1</v>
      </c>
      <c r="G215" s="139">
        <f t="shared" si="8"/>
        <v>1.65</v>
      </c>
      <c r="H215" s="140" t="str">
        <f>IF(AND(G215&gt;=$C$6,G215&lt;=$D$6),$B$6,IF(AND(G215&gt;=$C$5,G215&lt;=$D$5),$B$5,IF(AND(G215&gt;=$C$4,G215&lt;=$D$4),$B$4,IF(AND(G215&gt;=#REF!,G215&lt;=#REF!),#REF!))))</f>
        <v>Medium</v>
      </c>
      <c r="I215" s="140" t="s">
        <v>1393</v>
      </c>
      <c r="J215" s="141">
        <f t="shared" si="9"/>
        <v>3</v>
      </c>
      <c r="K215" s="140" t="str">
        <f>IF(AND(J215&gt;=$C$6,J215&lt;=$D$6),$B$6,IF(AND(J215&gt;=$C$5,J215&lt;=$D$5),$B$5,IF(AND(J215&gt;=$C$4,J215&lt;=$D$4),$B$4,IF(AND(J215&gt;=#REF!,J215&lt;=#REF!),#REF!))))</f>
        <v>High</v>
      </c>
    </row>
    <row r="216" spans="2:11" s="132" customFormat="1" x14ac:dyDescent="0.25">
      <c r="B216" s="137" t="s">
        <v>305</v>
      </c>
      <c r="C216" s="138">
        <f>[11]FATF!D208</f>
        <v>0</v>
      </c>
      <c r="D216" s="138">
        <v>0</v>
      </c>
      <c r="E216" s="138">
        <v>1</v>
      </c>
      <c r="F216" s="138">
        <v>1</v>
      </c>
      <c r="G216" s="139">
        <f t="shared" si="8"/>
        <v>0.35</v>
      </c>
      <c r="H216" s="140" t="str">
        <f>IF(AND(G216&gt;=$C$6,G216&lt;=$D$6),$B$6,IF(AND(G216&gt;=$C$5,G216&lt;=$D$5),$B$5,IF(AND(G216&gt;=$C$4,G216&lt;=$D$4),$B$4,IF(AND(G216&gt;=#REF!,G216&lt;=#REF!),#REF!))))</f>
        <v>Low</v>
      </c>
      <c r="I216" s="140"/>
      <c r="J216" s="141">
        <f t="shared" si="9"/>
        <v>0.35</v>
      </c>
      <c r="K216" s="140" t="str">
        <f>IF(AND(J216&gt;=$C$6,J216&lt;=$D$6),$B$6,IF(AND(J216&gt;=$C$5,J216&lt;=$D$5),$B$5,IF(AND(J216&gt;=$C$4,J216&lt;=$D$4),$B$4,IF(AND(J216&gt;=#REF!,J216&lt;=#REF!),#REF!))))</f>
        <v>Low</v>
      </c>
    </row>
    <row r="217" spans="2:11" s="132" customFormat="1" x14ac:dyDescent="0.25">
      <c r="B217" s="137" t="s">
        <v>232</v>
      </c>
      <c r="C217" s="138">
        <f>[11]FATF!D209</f>
        <v>1</v>
      </c>
      <c r="D217" s="138">
        <f>[11]BASEL!H210</f>
        <v>2</v>
      </c>
      <c r="E217" s="138">
        <v>1</v>
      </c>
      <c r="F217" s="138">
        <v>1</v>
      </c>
      <c r="G217" s="139">
        <f t="shared" si="8"/>
        <v>1.35</v>
      </c>
      <c r="H217" s="140" t="str">
        <f>IF(AND(G217&gt;=$C$6,G217&lt;=$D$6),$B$6,IF(AND(G217&gt;=$C$5,G217&lt;=$D$5),$B$5,IF(AND(G217&gt;=$C$4,G217&lt;=$D$4),$B$4,IF(AND(G217&gt;=#REF!,G217&lt;=#REF!),#REF!))))</f>
        <v>Medium</v>
      </c>
      <c r="I217" s="140"/>
      <c r="J217" s="141">
        <f t="shared" si="9"/>
        <v>1.35</v>
      </c>
      <c r="K217" s="140" t="str">
        <f>IF(AND(J217&gt;=$C$6,J217&lt;=$D$6),$B$6,IF(AND(J217&gt;=$C$5,J217&lt;=$D$5),$B$5,IF(AND(J217&gt;=$C$4,J217&lt;=$D$4),$B$4,IF(AND(J217&gt;=#REF!,J217&lt;=#REF!),#REF!))))</f>
        <v>Medium</v>
      </c>
    </row>
    <row r="218" spans="2:11" x14ac:dyDescent="0.25">
      <c r="B218" s="137" t="s">
        <v>233</v>
      </c>
      <c r="C218" s="138">
        <f>[11]FATF!D210</f>
        <v>2</v>
      </c>
      <c r="D218" s="138">
        <f>[11]BASEL!H211</f>
        <v>3</v>
      </c>
      <c r="E218" s="138">
        <v>2</v>
      </c>
      <c r="F218" s="138">
        <v>1</v>
      </c>
      <c r="G218" s="139">
        <f t="shared" si="8"/>
        <v>2.2999999999999998</v>
      </c>
      <c r="H218" s="140" t="str">
        <f>IF(AND(G218&gt;=$C$6,G218&lt;=$D$6),$B$6,IF(AND(G218&gt;=$C$5,G218&lt;=$D$5),$B$5,IF(AND(G218&gt;=$C$4,G218&lt;=$D$4),$B$4,IF(AND(G218&gt;=#REF!,G218&lt;=#REF!),#REF!))))</f>
        <v>High</v>
      </c>
      <c r="I218" s="140" t="s">
        <v>1393</v>
      </c>
      <c r="J218" s="141">
        <f t="shared" si="9"/>
        <v>3</v>
      </c>
      <c r="K218" s="140" t="str">
        <f>IF(AND(J218&gt;=$C$6,J218&lt;=$D$6),$B$6,IF(AND(J218&gt;=$C$5,J218&lt;=$D$5),$B$5,IF(AND(J218&gt;=$C$4,J218&lt;=$D$4),$B$4,IF(AND(J218&gt;=#REF!,J218&lt;=#REF!),#REF!))))</f>
        <v>High</v>
      </c>
    </row>
    <row r="219" spans="2:11" s="132" customFormat="1" x14ac:dyDescent="0.25">
      <c r="B219" s="137" t="s">
        <v>65</v>
      </c>
      <c r="C219" s="138">
        <f>[11]FATF!D211</f>
        <v>1</v>
      </c>
      <c r="D219" s="138">
        <f>[11]BASEL!H212</f>
        <v>1</v>
      </c>
      <c r="E219" s="138">
        <v>1</v>
      </c>
      <c r="F219" s="138">
        <v>1</v>
      </c>
      <c r="G219" s="139">
        <f t="shared" si="8"/>
        <v>1</v>
      </c>
      <c r="H219" s="140" t="str">
        <f>IF(AND(G219&gt;=$C$6,G219&lt;=$D$6),$B$6,IF(AND(G219&gt;=$C$5,G219&lt;=$D$5),$B$5,IF(AND(G219&gt;=$C$4,G219&lt;=$D$4),$B$4,IF(AND(G219&gt;=#REF!,G219&lt;=#REF!),#REF!))))</f>
        <v>Low</v>
      </c>
      <c r="I219" s="140"/>
      <c r="J219" s="141">
        <f t="shared" si="9"/>
        <v>1</v>
      </c>
      <c r="K219" s="140" t="str">
        <f>IF(AND(J219&gt;=$C$6,J219&lt;=$D$6),$B$6,IF(AND(J219&gt;=$C$5,J219&lt;=$D$5),$B$5,IF(AND(J219&gt;=$C$4,J219&lt;=$D$4),$B$4,IF(AND(J219&gt;=#REF!,J219&lt;=#REF!),#REF!))))</f>
        <v>Low</v>
      </c>
    </row>
    <row r="220" spans="2:11" s="132" customFormat="1" x14ac:dyDescent="0.25">
      <c r="B220" s="137" t="s">
        <v>234</v>
      </c>
      <c r="C220" s="138">
        <f>[11]FATF!D212</f>
        <v>1</v>
      </c>
      <c r="D220" s="138">
        <f>[11]BASEL!H213</f>
        <v>2</v>
      </c>
      <c r="E220" s="138">
        <v>1</v>
      </c>
      <c r="F220" s="138">
        <v>1</v>
      </c>
      <c r="G220" s="139">
        <f t="shared" si="8"/>
        <v>1.35</v>
      </c>
      <c r="H220" s="140" t="str">
        <f>IF(AND(G220&gt;=$C$6,G220&lt;=$D$6),$B$6,IF(AND(G220&gt;=$C$5,G220&lt;=$D$5),$B$5,IF(AND(G220&gt;=$C$4,G220&lt;=$D$4),$B$4,IF(AND(G220&gt;=#REF!,G220&lt;=#REF!),#REF!))))</f>
        <v>Medium</v>
      </c>
      <c r="I220" s="140"/>
      <c r="J220" s="141">
        <f t="shared" si="9"/>
        <v>1.35</v>
      </c>
      <c r="K220" s="140" t="str">
        <f>IF(AND(J220&gt;=$C$6,J220&lt;=$D$6),$B$6,IF(AND(J220&gt;=$C$5,J220&lt;=$D$5),$B$5,IF(AND(J220&gt;=$C$4,J220&lt;=$D$4),$B$4,IF(AND(J220&gt;=#REF!,J220&lt;=#REF!),#REF!))))</f>
        <v>Medium</v>
      </c>
    </row>
    <row r="221" spans="2:11" x14ac:dyDescent="0.25">
      <c r="B221" s="137" t="s">
        <v>235</v>
      </c>
      <c r="C221" s="138">
        <f>[11]FATF!D213</f>
        <v>1</v>
      </c>
      <c r="D221" s="138">
        <f>[11]BASEL!H214</f>
        <v>2</v>
      </c>
      <c r="E221" s="138">
        <v>1</v>
      </c>
      <c r="F221" s="138">
        <v>1</v>
      </c>
      <c r="G221" s="139">
        <f t="shared" si="8"/>
        <v>1.35</v>
      </c>
      <c r="H221" s="140" t="str">
        <f>IF(AND(G221&gt;=$C$6,G221&lt;=$D$6),$B$6,IF(AND(G221&gt;=$C$5,G221&lt;=$D$5),$B$5,IF(AND(G221&gt;=$C$4,G221&lt;=$D$4),$B$4,IF(AND(G221&gt;=#REF!,G221&lt;=#REF!),#REF!))))</f>
        <v>Medium</v>
      </c>
      <c r="I221" s="140"/>
      <c r="J221" s="141">
        <f t="shared" si="9"/>
        <v>1.35</v>
      </c>
      <c r="K221" s="140" t="str">
        <f>IF(AND(J221&gt;=$C$6,J221&lt;=$D$6),$B$6,IF(AND(J221&gt;=$C$5,J221&lt;=$D$5),$B$5,IF(AND(J221&gt;=$C$4,J221&lt;=$D$4),$B$4,IF(AND(J221&gt;=#REF!,J221&lt;=#REF!),#REF!))))</f>
        <v>Medium</v>
      </c>
    </row>
    <row r="222" spans="2:11" x14ac:dyDescent="0.25">
      <c r="B222" s="137" t="s">
        <v>236</v>
      </c>
      <c r="C222" s="138">
        <f>[11]FATF!D214</f>
        <v>1</v>
      </c>
      <c r="D222" s="138">
        <f>[11]BASEL!H215</f>
        <v>2</v>
      </c>
      <c r="E222" s="138">
        <v>1</v>
      </c>
      <c r="F222" s="138">
        <v>1</v>
      </c>
      <c r="G222" s="139">
        <f t="shared" si="8"/>
        <v>1.35</v>
      </c>
      <c r="H222" s="140" t="str">
        <f>IF(AND(G222&gt;=$C$6,G222&lt;=$D$6),$B$6,IF(AND(G222&gt;=$C$5,G222&lt;=$D$5),$B$5,IF(AND(G222&gt;=$C$4,G222&lt;=$D$4),$B$4,IF(AND(G222&gt;=#REF!,G222&lt;=#REF!),#REF!))))</f>
        <v>Medium</v>
      </c>
      <c r="I222" s="140"/>
      <c r="J222" s="141">
        <f t="shared" si="9"/>
        <v>1.35</v>
      </c>
      <c r="K222" s="140" t="str">
        <f>IF(AND(J222&gt;=$C$6,J222&lt;=$D$6),$B$6,IF(AND(J222&gt;=$C$5,J222&lt;=$D$5),$B$5,IF(AND(J222&gt;=$C$4,J222&lt;=$D$4),$B$4,IF(AND(J222&gt;=#REF!,J222&lt;=#REF!),#REF!))))</f>
        <v>Medium</v>
      </c>
    </row>
    <row r="223" spans="2:11" x14ac:dyDescent="0.25">
      <c r="B223" s="137" t="s">
        <v>237</v>
      </c>
      <c r="C223" s="138">
        <f>[11]FATF!D215</f>
        <v>1</v>
      </c>
      <c r="D223" s="138">
        <f>[11]BASEL!H216</f>
        <v>2</v>
      </c>
      <c r="E223" s="138">
        <v>1</v>
      </c>
      <c r="F223" s="138">
        <v>1</v>
      </c>
      <c r="G223" s="139">
        <f t="shared" si="8"/>
        <v>1.35</v>
      </c>
      <c r="H223" s="140" t="str">
        <f>IF(AND(G223&gt;=$C$6,G223&lt;=$D$6),$B$6,IF(AND(G223&gt;=$C$5,G223&lt;=$D$5),$B$5,IF(AND(G223&gt;=$C$4,G223&lt;=$D$4),$B$4,IF(AND(G223&gt;=#REF!,G223&lt;=#REF!),#REF!))))</f>
        <v>Medium</v>
      </c>
      <c r="I223" s="140"/>
      <c r="J223" s="141">
        <f t="shared" si="9"/>
        <v>1.35</v>
      </c>
      <c r="K223" s="140" t="str">
        <f>IF(AND(J223&gt;=$C$6,J223&lt;=$D$6),$B$6,IF(AND(J223&gt;=$C$5,J223&lt;=$D$5),$B$5,IF(AND(J223&gt;=$C$4,J223&lt;=$D$4),$B$4,IF(AND(J223&gt;=#REF!,J223&lt;=#REF!),#REF!))))</f>
        <v>Medium</v>
      </c>
    </row>
    <row r="224" spans="2:11" x14ac:dyDescent="0.25">
      <c r="B224" s="137" t="s">
        <v>66</v>
      </c>
      <c r="C224" s="138">
        <f>[11]FATF!D216</f>
        <v>1</v>
      </c>
      <c r="D224" s="138">
        <f>[11]BASEL!H217</f>
        <v>2</v>
      </c>
      <c r="E224" s="138">
        <v>2</v>
      </c>
      <c r="F224" s="138">
        <v>3</v>
      </c>
      <c r="G224" s="139">
        <f t="shared" si="8"/>
        <v>1.75</v>
      </c>
      <c r="H224" s="140" t="str">
        <f>IF(AND(G224&gt;=$C$6,G224&lt;=$D$6),$B$6,IF(AND(G224&gt;=$C$5,G224&lt;=$D$5),$B$5,IF(AND(G224&gt;=$C$4,G224&lt;=$D$4),$B$4,IF(AND(G224&gt;=#REF!,G224&lt;=#REF!),#REF!))))</f>
        <v>Medium</v>
      </c>
      <c r="I224" s="140"/>
      <c r="J224" s="141">
        <f t="shared" si="9"/>
        <v>1.75</v>
      </c>
      <c r="K224" s="140" t="str">
        <f>IF(AND(J224&gt;=$C$6,J224&lt;=$D$6),$B$6,IF(AND(J224&gt;=$C$5,J224&lt;=$D$5),$B$5,IF(AND(J224&gt;=$C$4,J224&lt;=$D$4),$B$4,IF(AND(J224&gt;=#REF!,J224&lt;=#REF!),#REF!))))</f>
        <v>Medium</v>
      </c>
    </row>
    <row r="225" spans="2:11" x14ac:dyDescent="0.25">
      <c r="B225" s="137" t="s">
        <v>238</v>
      </c>
      <c r="C225" s="138">
        <f>[11]FATF!D217</f>
        <v>1</v>
      </c>
      <c r="D225" s="138">
        <f>[11]BASEL!H218</f>
        <v>2</v>
      </c>
      <c r="E225" s="138">
        <v>1</v>
      </c>
      <c r="F225" s="138">
        <v>1</v>
      </c>
      <c r="G225" s="139">
        <f t="shared" si="8"/>
        <v>1.35</v>
      </c>
      <c r="H225" s="140" t="str">
        <f>IF(AND(G225&gt;=$C$6,G225&lt;=$D$6),$B$6,IF(AND(G225&gt;=$C$5,G225&lt;=$D$5),$B$5,IF(AND(G225&gt;=$C$4,G225&lt;=$D$4),$B$4,IF(AND(G225&gt;=#REF!,G225&lt;=#REF!),#REF!))))</f>
        <v>Medium</v>
      </c>
      <c r="I225" s="140"/>
      <c r="J225" s="141">
        <f t="shared" si="9"/>
        <v>1.35</v>
      </c>
      <c r="K225" s="140" t="str">
        <f>IF(AND(J225&gt;=$C$6,J225&lt;=$D$6),$B$6,IF(AND(J225&gt;=$C$5,J225&lt;=$D$5),$B$5,IF(AND(J225&gt;=$C$4,J225&lt;=$D$4),$B$4,IF(AND(J225&gt;=#REF!,J225&lt;=#REF!),#REF!))))</f>
        <v>Medium</v>
      </c>
    </row>
    <row r="226" spans="2:11" x14ac:dyDescent="0.25">
      <c r="B226" s="137" t="s">
        <v>1385</v>
      </c>
      <c r="C226" s="142">
        <v>1</v>
      </c>
      <c r="D226" s="142">
        <v>1</v>
      </c>
      <c r="E226" s="138">
        <v>1</v>
      </c>
      <c r="F226" s="138">
        <v>1</v>
      </c>
      <c r="G226" s="139">
        <f t="shared" si="8"/>
        <v>1</v>
      </c>
      <c r="H226" s="140" t="str">
        <f>IF(AND(G226&gt;=$C$6,G226&lt;=$D$6),$B$6,IF(AND(G226&gt;=$C$5,G226&lt;=$D$5),$B$5,IF(AND(G226&gt;=$C$4,G226&lt;=$D$4),$B$4,IF(AND(G226&gt;=#REF!,G226&lt;=#REF!),#REF!))))</f>
        <v>Low</v>
      </c>
      <c r="I226" s="140"/>
      <c r="J226" s="141">
        <f t="shared" si="9"/>
        <v>1</v>
      </c>
      <c r="K226" s="140" t="str">
        <f>IF(AND(J226&gt;=$C$6,J226&lt;=$D$6),$B$6,IF(AND(J226&gt;=$C$5,J226&lt;=$D$5),$B$5,IF(AND(J226&gt;=$C$4,J226&lt;=$D$4),$B$4,IF(AND(J226&gt;=#REF!,J226&lt;=#REF!),#REF!))))</f>
        <v>Low</v>
      </c>
    </row>
    <row r="227" spans="2:11" x14ac:dyDescent="0.25">
      <c r="B227" s="137" t="s">
        <v>67</v>
      </c>
      <c r="C227" s="138">
        <f>[11]FATF!D219</f>
        <v>1</v>
      </c>
      <c r="D227" s="138">
        <f>[11]BASEL!H220</f>
        <v>2</v>
      </c>
      <c r="E227" s="138">
        <v>1</v>
      </c>
      <c r="F227" s="138">
        <v>1</v>
      </c>
      <c r="G227" s="139">
        <f t="shared" si="8"/>
        <v>1.35</v>
      </c>
      <c r="H227" s="140" t="str">
        <f>IF(AND(G227&gt;=$C$6,G227&lt;=$D$6),$B$6,IF(AND(G227&gt;=$C$5,G227&lt;=$D$5),$B$5,IF(AND(G227&gt;=$C$4,G227&lt;=$D$4),$B$4,IF(AND(G227&gt;=#REF!,G227&lt;=#REF!),#REF!))))</f>
        <v>Medium</v>
      </c>
      <c r="I227" s="140"/>
      <c r="J227" s="141">
        <f t="shared" si="9"/>
        <v>1.35</v>
      </c>
      <c r="K227" s="140" t="str">
        <f>IF(AND(J227&gt;=$C$6,J227&lt;=$D$6),$B$6,IF(AND(J227&gt;=$C$5,J227&lt;=$D$5),$B$5,IF(AND(J227&gt;=$C$4,J227&lt;=$D$4),$B$4,IF(AND(J227&gt;=#REF!,J227&lt;=#REF!),#REF!))))</f>
        <v>Medium</v>
      </c>
    </row>
    <row r="228" spans="2:11" x14ac:dyDescent="0.25">
      <c r="B228" s="137" t="s">
        <v>68</v>
      </c>
      <c r="C228" s="138">
        <f>[11]FATF!D220</f>
        <v>1</v>
      </c>
      <c r="D228" s="138">
        <f>[11]BASEL!H221</f>
        <v>1</v>
      </c>
      <c r="E228" s="138">
        <v>1</v>
      </c>
      <c r="F228" s="138">
        <v>1</v>
      </c>
      <c r="G228" s="139">
        <f t="shared" si="8"/>
        <v>1</v>
      </c>
      <c r="H228" s="140" t="str">
        <f>IF(AND(G228&gt;=$C$6,G228&lt;=$D$6),$B$6,IF(AND(G228&gt;=$C$5,G228&lt;=$D$5),$B$5,IF(AND(G228&gt;=$C$4,G228&lt;=$D$4),$B$4,IF(AND(G228&gt;=#REF!,G228&lt;=#REF!),#REF!))))</f>
        <v>Low</v>
      </c>
      <c r="I228" s="140"/>
      <c r="J228" s="141">
        <f t="shared" si="9"/>
        <v>1</v>
      </c>
      <c r="K228" s="140" t="str">
        <f>IF(AND(J228&gt;=$C$6,J228&lt;=$D$6),$B$6,IF(AND(J228&gt;=$C$5,J228&lt;=$D$5),$B$5,IF(AND(J228&gt;=$C$4,J228&lt;=$D$4),$B$4,IF(AND(J228&gt;=#REF!,J228&lt;=#REF!),#REF!))))</f>
        <v>Low</v>
      </c>
    </row>
    <row r="229" spans="2:11" x14ac:dyDescent="0.25">
      <c r="B229" s="137" t="s">
        <v>69</v>
      </c>
      <c r="C229" s="138">
        <f>[11]FATF!D221</f>
        <v>1</v>
      </c>
      <c r="D229" s="138">
        <f>[11]BASEL!H222</f>
        <v>2</v>
      </c>
      <c r="E229" s="138">
        <v>1</v>
      </c>
      <c r="F229" s="138">
        <v>1</v>
      </c>
      <c r="G229" s="139">
        <f t="shared" si="8"/>
        <v>1.35</v>
      </c>
      <c r="H229" s="140" t="str">
        <f>IF(AND(G229&gt;=$C$6,G229&lt;=$D$6),$B$6,IF(AND(G229&gt;=$C$5,G229&lt;=$D$5),$B$5,IF(AND(G229&gt;=$C$4,G229&lt;=$D$4),$B$4,IF(AND(G229&gt;=#REF!,G229&lt;=#REF!),#REF!))))</f>
        <v>Medium</v>
      </c>
      <c r="I229" s="140"/>
      <c r="J229" s="141">
        <f t="shared" si="9"/>
        <v>1.35</v>
      </c>
      <c r="K229" s="140" t="str">
        <f>IF(AND(J229&gt;=$C$6,J229&lt;=$D$6),$B$6,IF(AND(J229&gt;=$C$5,J229&lt;=$D$5),$B$5,IF(AND(J229&gt;=$C$4,J229&lt;=$D$4),$B$4,IF(AND(J229&gt;=#REF!,J229&lt;=#REF!),#REF!))))</f>
        <v>Medium</v>
      </c>
    </row>
    <row r="230" spans="2:11" x14ac:dyDescent="0.25">
      <c r="B230" s="137" t="s">
        <v>239</v>
      </c>
      <c r="C230" s="138">
        <f>[11]FATF!D222</f>
        <v>2</v>
      </c>
      <c r="D230" s="138">
        <f>[11]BASEL!H223</f>
        <v>2</v>
      </c>
      <c r="E230" s="138">
        <v>3</v>
      </c>
      <c r="F230" s="138">
        <v>1</v>
      </c>
      <c r="G230" s="139">
        <f t="shared" si="8"/>
        <v>2.2499999999999996</v>
      </c>
      <c r="H230" s="140" t="str">
        <f>IF(AND(G230&gt;=$C$6,G230&lt;=$D$6),$B$6,IF(AND(G230&gt;=$C$5,G230&lt;=$D$5),$B$5,IF(AND(G230&gt;=$C$4,G230&lt;=$D$4),$B$4,IF(AND(G230&gt;=#REF!,G230&lt;=#REF!),#REF!))))</f>
        <v>High</v>
      </c>
      <c r="I230" s="140" t="s">
        <v>1393</v>
      </c>
      <c r="J230" s="141">
        <f t="shared" si="9"/>
        <v>3</v>
      </c>
      <c r="K230" s="140" t="str">
        <f>IF(AND(J230&gt;=$C$6,J230&lt;=$D$6),$B$6,IF(AND(J230&gt;=$C$5,J230&lt;=$D$5),$B$5,IF(AND(J230&gt;=$C$4,J230&lt;=$D$4),$B$4,IF(AND(J230&gt;=#REF!,J230&lt;=#REF!),#REF!))))</f>
        <v>High</v>
      </c>
    </row>
    <row r="231" spans="2:11" x14ac:dyDescent="0.25">
      <c r="B231" s="162" t="s">
        <v>70</v>
      </c>
      <c r="C231" s="138">
        <f>[11]FATF!D223</f>
        <v>1</v>
      </c>
      <c r="D231" s="138">
        <f>[11]BASEL!H224</f>
        <v>2</v>
      </c>
      <c r="E231" s="163">
        <v>1</v>
      </c>
      <c r="F231" s="163">
        <v>1</v>
      </c>
      <c r="G231" s="139">
        <f t="shared" si="8"/>
        <v>1.35</v>
      </c>
      <c r="H231" s="140" t="str">
        <f>IF(AND(G231&gt;=$C$6,G231&lt;=$D$6),$B$6,IF(AND(G231&gt;=$C$5,G231&lt;=$D$5),$B$5,IF(AND(G231&gt;=$C$4,G231&lt;=$D$4),$B$4,IF(AND(G231&gt;=#REF!,G231&lt;=#REF!),#REF!))))</f>
        <v>Medium</v>
      </c>
      <c r="I231" s="140"/>
      <c r="J231" s="141">
        <f t="shared" si="9"/>
        <v>1.35</v>
      </c>
      <c r="K231" s="140" t="str">
        <f>IF(AND(J231&gt;=$C$6,J231&lt;=$D$6),$B$6,IF(AND(J231&gt;=$C$5,J231&lt;=$D$5),$B$5,IF(AND(J231&gt;=$C$4,J231&lt;=$D$4),$B$4,IF(AND(J231&gt;=#REF!,J231&lt;=#REF!),#REF!))))</f>
        <v>Medium</v>
      </c>
    </row>
    <row r="232" spans="2:11" x14ac:dyDescent="0.25">
      <c r="B232" s="137" t="s">
        <v>240</v>
      </c>
      <c r="C232" s="138">
        <f>[11]FATF!D224</f>
        <v>1</v>
      </c>
      <c r="D232" s="138">
        <f>[11]BASEL!H225</f>
        <v>2</v>
      </c>
      <c r="E232" s="138">
        <v>1</v>
      </c>
      <c r="F232" s="138">
        <v>1</v>
      </c>
      <c r="G232" s="139">
        <f t="shared" si="8"/>
        <v>1.35</v>
      </c>
      <c r="H232" s="140" t="str">
        <f>IF(AND(G232&gt;=$C$6,G232&lt;=$D$6),$B$6,IF(AND(G232&gt;=$C$5,G232&lt;=$D$5),$B$5,IF(AND(G232&gt;=$C$4,G232&lt;=$D$4),$B$4,IF(AND(G232&gt;=#REF!,G232&lt;=#REF!),#REF!))))</f>
        <v>Medium</v>
      </c>
      <c r="I232" s="140"/>
      <c r="J232" s="141">
        <f t="shared" si="9"/>
        <v>1.35</v>
      </c>
      <c r="K232" s="140" t="str">
        <f>IF(AND(J232&gt;=$C$6,J232&lt;=$D$6),$B$6,IF(AND(J232&gt;=$C$5,J232&lt;=$D$5),$B$5,IF(AND(J232&gt;=$C$4,J232&lt;=$D$4),$B$4,IF(AND(J232&gt;=#REF!,J232&lt;=#REF!),#REF!))))</f>
        <v>Medium</v>
      </c>
    </row>
    <row r="233" spans="2:11" x14ac:dyDescent="0.25">
      <c r="B233" s="137" t="s">
        <v>71</v>
      </c>
      <c r="C233" s="138">
        <f>[11]FATF!D225</f>
        <v>2</v>
      </c>
      <c r="D233" s="138">
        <f>[11]BASEL!H226</f>
        <v>2</v>
      </c>
      <c r="E233" s="138">
        <v>1</v>
      </c>
      <c r="F233" s="138">
        <v>1</v>
      </c>
      <c r="G233" s="139">
        <f t="shared" si="8"/>
        <v>1.65</v>
      </c>
      <c r="H233" s="140" t="str">
        <f>IF(AND(G233&gt;=$C$6,G233&lt;=$D$6),$B$6,IF(AND(G233&gt;=$C$5,G233&lt;=$D$5),$B$5,IF(AND(G233&gt;=$C$4,G233&lt;=$D$4),$B$4,IF(AND(G233&gt;=#REF!,G233&lt;=#REF!),#REF!))))</f>
        <v>Medium</v>
      </c>
      <c r="I233" s="140" t="s">
        <v>1393</v>
      </c>
      <c r="J233" s="141">
        <f t="shared" si="9"/>
        <v>3</v>
      </c>
      <c r="K233" s="140" t="str">
        <f>IF(AND(J233&gt;=$C$6,J233&lt;=$D$6),$B$6,IF(AND(J233&gt;=$C$5,J233&lt;=$D$5),$B$5,IF(AND(J233&gt;=$C$4,J233&lt;=$D$4),$B$4,IF(AND(J233&gt;=#REF!,J233&lt;=#REF!),#REF!))))</f>
        <v>High</v>
      </c>
    </row>
    <row r="234" spans="2:11" x14ac:dyDescent="0.25">
      <c r="B234" s="137" t="s">
        <v>72</v>
      </c>
      <c r="C234" s="138">
        <f>[11]FATF!D226</f>
        <v>1</v>
      </c>
      <c r="D234" s="138">
        <f>[11]BASEL!H227</f>
        <v>2</v>
      </c>
      <c r="E234" s="138">
        <v>1</v>
      </c>
      <c r="F234" s="138">
        <v>1</v>
      </c>
      <c r="G234" s="139">
        <f t="shared" si="8"/>
        <v>1.35</v>
      </c>
      <c r="H234" s="140" t="str">
        <f>IF(AND(G234&gt;=$C$6,G234&lt;=$D$6),$B$6,IF(AND(G234&gt;=$C$5,G234&lt;=$D$5),$B$5,IF(AND(G234&gt;=$C$4,G234&lt;=$D$4),$B$4,IF(AND(G234&gt;=#REF!,G234&lt;=#REF!),#REF!))))</f>
        <v>Medium</v>
      </c>
      <c r="I234" s="140"/>
      <c r="J234" s="141">
        <f t="shared" si="9"/>
        <v>1.35</v>
      </c>
      <c r="K234" s="140" t="str">
        <f>IF(AND(J234&gt;=$C$6,J234&lt;=$D$6),$B$6,IF(AND(J234&gt;=$C$5,J234&lt;=$D$5),$B$5,IF(AND(J234&gt;=$C$4,J234&lt;=$D$4),$B$4,IF(AND(J234&gt;=#REF!,J234&lt;=#REF!),#REF!))))</f>
        <v>Medium</v>
      </c>
    </row>
    <row r="235" spans="2:11" x14ac:dyDescent="0.25">
      <c r="B235" s="137" t="s">
        <v>241</v>
      </c>
      <c r="C235" s="138">
        <f>[11]FATF!D227</f>
        <v>1</v>
      </c>
      <c r="D235" s="138">
        <f>[11]BASEL!H228</f>
        <v>2</v>
      </c>
      <c r="E235" s="138">
        <v>1</v>
      </c>
      <c r="F235" s="138">
        <v>1</v>
      </c>
      <c r="G235" s="139">
        <f t="shared" si="8"/>
        <v>1.35</v>
      </c>
      <c r="H235" s="140" t="str">
        <f>IF(AND(G235&gt;=$C$6,G235&lt;=$D$6),$B$6,IF(AND(G235&gt;=$C$5,G235&lt;=$D$5),$B$5,IF(AND(G235&gt;=$C$4,G235&lt;=$D$4),$B$4,IF(AND(G235&gt;=#REF!,G235&lt;=#REF!),#REF!))))</f>
        <v>Medium</v>
      </c>
      <c r="I235" s="140"/>
      <c r="J235" s="141">
        <f t="shared" si="9"/>
        <v>1.35</v>
      </c>
      <c r="K235" s="140" t="str">
        <f>IF(AND(J235&gt;=$C$6,J235&lt;=$D$6),$B$6,IF(AND(J235&gt;=$C$5,J235&lt;=$D$5),$B$5,IF(AND(J235&gt;=$C$4,J235&lt;=$D$4),$B$4,IF(AND(J235&gt;=#REF!,J235&lt;=#REF!),#REF!))))</f>
        <v>Medium</v>
      </c>
    </row>
    <row r="236" spans="2:11" x14ac:dyDescent="0.25">
      <c r="B236" s="137" t="s">
        <v>73</v>
      </c>
      <c r="C236" s="138">
        <f>[11]FATF!D228</f>
        <v>1</v>
      </c>
      <c r="D236" s="138">
        <f>[11]BASEL!H229</f>
        <v>2</v>
      </c>
      <c r="E236" s="138">
        <v>1</v>
      </c>
      <c r="F236" s="138">
        <v>1</v>
      </c>
      <c r="G236" s="139">
        <f t="shared" si="8"/>
        <v>1.35</v>
      </c>
      <c r="H236" s="140" t="str">
        <f>IF(AND(G236&gt;=$C$6,G236&lt;=$D$6),$B$6,IF(AND(G236&gt;=$C$5,G236&lt;=$D$5),$B$5,IF(AND(G236&gt;=$C$4,G236&lt;=$D$4),$B$4,IF(AND(G236&gt;=#REF!,G236&lt;=#REF!),#REF!))))</f>
        <v>Medium</v>
      </c>
      <c r="I236" s="140"/>
      <c r="J236" s="141">
        <f t="shared" si="9"/>
        <v>1.35</v>
      </c>
      <c r="K236" s="140" t="str">
        <f>IF(AND(J236&gt;=$C$6,J236&lt;=$D$6),$B$6,IF(AND(J236&gt;=$C$5,J236&lt;=$D$5),$B$5,IF(AND(J236&gt;=$C$4,J236&lt;=$D$4),$B$4,IF(AND(J236&gt;=#REF!,J236&lt;=#REF!),#REF!))))</f>
        <v>Medium</v>
      </c>
    </row>
    <row r="237" spans="2:11" x14ac:dyDescent="0.25">
      <c r="B237" s="137" t="s">
        <v>1386</v>
      </c>
      <c r="C237" s="142">
        <v>1</v>
      </c>
      <c r="D237" s="142">
        <v>1</v>
      </c>
      <c r="E237" s="138">
        <v>1</v>
      </c>
      <c r="F237" s="138">
        <v>1</v>
      </c>
      <c r="G237" s="139">
        <f t="shared" si="8"/>
        <v>1</v>
      </c>
      <c r="H237" s="140" t="str">
        <f>IF(AND(G237&gt;=$C$6,G237&lt;=$D$6),$B$6,IF(AND(G237&gt;=$C$5,G237&lt;=$D$5),$B$5,IF(AND(G237&gt;=$C$4,G237&lt;=$D$4),$B$4,IF(AND(G237&gt;=#REF!,G237&lt;=#REF!),#REF!))))</f>
        <v>Low</v>
      </c>
      <c r="I237" s="140"/>
      <c r="J237" s="141">
        <f t="shared" si="9"/>
        <v>1</v>
      </c>
      <c r="K237" s="140" t="str">
        <f>IF(AND(J237&gt;=$C$6,J237&lt;=$D$6),$B$6,IF(AND(J237&gt;=$C$5,J237&lt;=$D$5),$B$5,IF(AND(J237&gt;=$C$4,J237&lt;=$D$4),$B$4,IF(AND(J237&gt;=#REF!,J237&lt;=#REF!),#REF!))))</f>
        <v>Low</v>
      </c>
    </row>
    <row r="238" spans="2:11" x14ac:dyDescent="0.25">
      <c r="B238" s="137" t="s">
        <v>287</v>
      </c>
      <c r="C238" s="138">
        <f>[11]FATF!D230</f>
        <v>1</v>
      </c>
      <c r="D238" s="138">
        <f>[11]BASEL!H231</f>
        <v>2</v>
      </c>
      <c r="E238" s="138">
        <v>1</v>
      </c>
      <c r="F238" s="138">
        <v>1</v>
      </c>
      <c r="G238" s="139">
        <f t="shared" si="8"/>
        <v>1.35</v>
      </c>
      <c r="H238" s="140" t="str">
        <f>IF(AND(G238&gt;=$C$6,G238&lt;=$D$6),$B$6,IF(AND(G238&gt;=$C$5,G238&lt;=$D$5),$B$5,IF(AND(G238&gt;=$C$4,G238&lt;=$D$4),$B$4,IF(AND(G238&gt;=#REF!,G238&lt;=#REF!),#REF!))))</f>
        <v>Medium</v>
      </c>
      <c r="I238" s="140"/>
      <c r="J238" s="141">
        <f t="shared" si="9"/>
        <v>1.35</v>
      </c>
      <c r="K238" s="140" t="str">
        <f>IF(AND(J238&gt;=$C$6,J238&lt;=$D$6),$B$6,IF(AND(J238&gt;=$C$5,J238&lt;=$D$5),$B$5,IF(AND(J238&gt;=$C$4,J238&lt;=$D$4),$B$4,IF(AND(J238&gt;=#REF!,J238&lt;=#REF!),#REF!))))</f>
        <v>Medium</v>
      </c>
    </row>
    <row r="239" spans="2:11" x14ac:dyDescent="0.25">
      <c r="B239" s="164" t="s">
        <v>242</v>
      </c>
      <c r="C239" s="138">
        <f>[11]FATF!D231</f>
        <v>1</v>
      </c>
      <c r="D239" s="138">
        <f>[11]BASEL!H232</f>
        <v>2</v>
      </c>
      <c r="E239" s="138">
        <v>1</v>
      </c>
      <c r="F239" s="138">
        <v>1</v>
      </c>
      <c r="G239" s="139">
        <f t="shared" si="8"/>
        <v>1.35</v>
      </c>
      <c r="H239" s="140" t="str">
        <f>IF(AND(G239&gt;=$C$6,G239&lt;=$D$6),$B$6,IF(AND(G239&gt;=$C$5,G239&lt;=$D$5),$B$5,IF(AND(G239&gt;=$C$4,G239&lt;=$D$4),$B$4,IF(AND(G239&gt;=#REF!,G239&lt;=#REF!),#REF!))))</f>
        <v>Medium</v>
      </c>
      <c r="I239" s="140"/>
      <c r="J239" s="141">
        <f t="shared" si="9"/>
        <v>1.35</v>
      </c>
      <c r="K239" s="140" t="str">
        <f>IF(AND(J239&gt;=$C$6,J239&lt;=$D$6),$B$6,IF(AND(J239&gt;=$C$5,J239&lt;=$D$5),$B$5,IF(AND(J239&gt;=$C$4,J239&lt;=$D$4),$B$4,IF(AND(J239&gt;=#REF!,J239&lt;=#REF!),#REF!))))</f>
        <v>Medium</v>
      </c>
    </row>
    <row r="240" spans="2:11" x14ac:dyDescent="0.25">
      <c r="B240" s="137" t="s">
        <v>74</v>
      </c>
      <c r="C240" s="138">
        <f>[11]FATF!D232</f>
        <v>1</v>
      </c>
      <c r="D240" s="138">
        <f>[11]BASEL!H233</f>
        <v>2</v>
      </c>
      <c r="E240" s="138">
        <v>2</v>
      </c>
      <c r="F240" s="138">
        <v>1</v>
      </c>
      <c r="G240" s="139">
        <f t="shared" si="8"/>
        <v>1.6500000000000001</v>
      </c>
      <c r="H240" s="140" t="str">
        <f>IF(AND(G240&gt;=$C$6,G240&lt;=$D$6),$B$6,IF(AND(G240&gt;=$C$5,G240&lt;=$D$5),$B$5,IF(AND(G240&gt;=$C$4,G240&lt;=$D$4),$B$4,IF(AND(G240&gt;=#REF!,G240&lt;=#REF!),#REF!))))</f>
        <v>Medium</v>
      </c>
      <c r="I240" s="140"/>
      <c r="J240" s="141">
        <f t="shared" si="9"/>
        <v>1.6500000000000001</v>
      </c>
      <c r="K240" s="140" t="str">
        <f>IF(AND(J240&gt;=$C$6,J240&lt;=$D$6),$B$6,IF(AND(J240&gt;=$C$5,J240&lt;=$D$5),$B$5,IF(AND(J240&gt;=$C$4,J240&lt;=$D$4),$B$4,IF(AND(J240&gt;=#REF!,J240&lt;=#REF!),#REF!))))</f>
        <v>Medium</v>
      </c>
    </row>
    <row r="241" spans="2:11" x14ac:dyDescent="0.25">
      <c r="B241" s="137" t="s">
        <v>306</v>
      </c>
      <c r="C241" s="138">
        <f>[11]FATF!D233</f>
        <v>2</v>
      </c>
      <c r="D241" s="138">
        <f>[11]BASEL!H234</f>
        <v>2</v>
      </c>
      <c r="E241" s="138">
        <v>2</v>
      </c>
      <c r="F241" s="138">
        <v>1</v>
      </c>
      <c r="G241" s="139">
        <f t="shared" si="8"/>
        <v>1.95</v>
      </c>
      <c r="H241" s="140" t="str">
        <f>IF(AND(G241&gt;=$C$6,G241&lt;=$D$6),$B$6,IF(AND(G241&gt;=$C$5,G241&lt;=$D$5),$B$5,IF(AND(G241&gt;=$C$4,G241&lt;=$D$4),$B$4,IF(AND(G241&gt;=#REF!,G241&lt;=#REF!),#REF!))))</f>
        <v>Medium</v>
      </c>
      <c r="I241" s="140"/>
      <c r="J241" s="141">
        <f t="shared" si="9"/>
        <v>1.95</v>
      </c>
      <c r="K241" s="140" t="str">
        <f>IF(AND(J241&gt;=$C$6,J241&lt;=$D$6),$B$6,IF(AND(J241&gt;=$C$5,J241&lt;=$D$5),$B$5,IF(AND(J241&gt;=$C$4,J241&lt;=$D$4),$B$4,IF(AND(J241&gt;=#REF!,J241&lt;=#REF!),#REF!))))</f>
        <v>Medium</v>
      </c>
    </row>
    <row r="242" spans="2:11" x14ac:dyDescent="0.25">
      <c r="B242" s="137" t="s">
        <v>75</v>
      </c>
      <c r="C242" s="138">
        <f>[11]FATF!D234</f>
        <v>1</v>
      </c>
      <c r="D242" s="138">
        <f>[11]BASEL!H235</f>
        <v>2</v>
      </c>
      <c r="E242" s="138">
        <v>1</v>
      </c>
      <c r="F242" s="138">
        <v>1</v>
      </c>
      <c r="G242" s="139">
        <f t="shared" si="8"/>
        <v>1.35</v>
      </c>
      <c r="H242" s="140" t="str">
        <f>IF(AND(G242&gt;=$C$6,G242&lt;=$D$6),$B$6,IF(AND(G242&gt;=$C$5,G242&lt;=$D$5),$B$5,IF(AND(G242&gt;=$C$4,G242&lt;=$D$4),$B$4,IF(AND(G242&gt;=#REF!,G242&lt;=#REF!),#REF!))))</f>
        <v>Medium</v>
      </c>
      <c r="I242" s="140"/>
      <c r="J242" s="141">
        <f t="shared" si="9"/>
        <v>1.35</v>
      </c>
      <c r="K242" s="140" t="str">
        <f>IF(AND(J242&gt;=$C$6,J242&lt;=$D$6),$B$6,IF(AND(J242&gt;=$C$5,J242&lt;=$D$5),$B$5,IF(AND(J242&gt;=$C$4,J242&lt;=$D$4),$B$4,IF(AND(J242&gt;=#REF!,J242&lt;=#REF!),#REF!))))</f>
        <v>Medium</v>
      </c>
    </row>
    <row r="243" spans="2:11" x14ac:dyDescent="0.25">
      <c r="B243" s="137" t="s">
        <v>243</v>
      </c>
      <c r="C243" s="138">
        <f>[11]FATF!D235</f>
        <v>1</v>
      </c>
      <c r="D243" s="138">
        <f>[11]BASEL!H236</f>
        <v>2</v>
      </c>
      <c r="E243" s="138">
        <v>1</v>
      </c>
      <c r="F243" s="138">
        <v>1</v>
      </c>
      <c r="G243" s="139">
        <f t="shared" si="8"/>
        <v>1.35</v>
      </c>
      <c r="H243" s="140" t="str">
        <f>IF(AND(G243&gt;=$C$6,G243&lt;=$D$6),$B$6,IF(AND(G243&gt;=$C$5,G243&lt;=$D$5),$B$5,IF(AND(G243&gt;=$C$4,G243&lt;=$D$4),$B$4,IF(AND(G243&gt;=#REF!,G243&lt;=#REF!),#REF!))))</f>
        <v>Medium</v>
      </c>
      <c r="I243" s="140"/>
      <c r="J243" s="141">
        <f t="shared" si="9"/>
        <v>1.35</v>
      </c>
      <c r="K243" s="140" t="str">
        <f>IF(AND(J243&gt;=$C$6,J243&lt;=$D$6),$B$6,IF(AND(J243&gt;=$C$5,J243&lt;=$D$5),$B$5,IF(AND(J243&gt;=$C$4,J243&lt;=$D$4),$B$4,IF(AND(J243&gt;=#REF!,J243&lt;=#REF!),#REF!))))</f>
        <v>Medium</v>
      </c>
    </row>
    <row r="244" spans="2:11" x14ac:dyDescent="0.25">
      <c r="B244" s="137" t="s">
        <v>1387</v>
      </c>
      <c r="C244" s="138">
        <f>[11]FATF!D236</f>
        <v>1</v>
      </c>
      <c r="D244" s="142">
        <v>2</v>
      </c>
      <c r="E244" s="138">
        <v>1</v>
      </c>
      <c r="F244" s="138">
        <v>1</v>
      </c>
      <c r="G244" s="139">
        <f t="shared" si="8"/>
        <v>1.35</v>
      </c>
      <c r="H244" s="140" t="str">
        <f>IF(AND(G244&gt;=$C$6,G244&lt;=$D$6),$B$6,IF(AND(G244&gt;=$C$5,G244&lt;=$D$5),$B$5,IF(AND(G244&gt;=$C$4,G244&lt;=$D$4),$B$4,IF(AND(G244&gt;=#REF!,G244&lt;=#REF!),#REF!))))</f>
        <v>Medium</v>
      </c>
      <c r="I244" s="140"/>
      <c r="J244" s="141">
        <f t="shared" si="9"/>
        <v>1.35</v>
      </c>
      <c r="K244" s="140" t="str">
        <f>IF(AND(J244&gt;=$C$6,J244&lt;=$D$6),$B$6,IF(AND(J244&gt;=$C$5,J244&lt;=$D$5),$B$5,IF(AND(J244&gt;=$C$4,J244&lt;=$D$4),$B$4,IF(AND(J244&gt;=#REF!,J244&lt;=#REF!),#REF!))))</f>
        <v>Medium</v>
      </c>
    </row>
    <row r="245" spans="2:11" x14ac:dyDescent="0.25">
      <c r="B245" s="164" t="s">
        <v>76</v>
      </c>
      <c r="C245" s="138">
        <f>[11]FATF!D237</f>
        <v>1</v>
      </c>
      <c r="D245" s="138">
        <f>[11]BASEL!H238</f>
        <v>2</v>
      </c>
      <c r="E245" s="138">
        <v>1</v>
      </c>
      <c r="F245" s="138">
        <v>1</v>
      </c>
      <c r="G245" s="139">
        <f t="shared" si="8"/>
        <v>1.35</v>
      </c>
      <c r="H245" s="140" t="str">
        <f>IF(AND(G245&gt;=$C$6,G245&lt;=$D$6),$B$6,IF(AND(G245&gt;=$C$5,G245&lt;=$D$5),$B$5,IF(AND(G245&gt;=$C$4,G245&lt;=$D$4),$B$4,IF(AND(G245&gt;=#REF!,G245&lt;=#REF!),#REF!))))</f>
        <v>Medium</v>
      </c>
      <c r="I245" s="140"/>
      <c r="J245" s="141">
        <f t="shared" si="9"/>
        <v>1.35</v>
      </c>
      <c r="K245" s="140" t="str">
        <f>IF(AND(J245&gt;=$C$6,J245&lt;=$D$6),$B$6,IF(AND(J245&gt;=$C$5,J245&lt;=$D$5),$B$5,IF(AND(J245&gt;=$C$4,J245&lt;=$D$4),$B$4,IF(AND(J245&gt;=#REF!,J245&lt;=#REF!),#REF!))))</f>
        <v>Medium</v>
      </c>
    </row>
    <row r="246" spans="2:11" x14ac:dyDescent="0.25">
      <c r="B246" s="137" t="s">
        <v>77</v>
      </c>
      <c r="C246" s="138">
        <f>[11]FATF!D238</f>
        <v>1</v>
      </c>
      <c r="D246" s="138">
        <f>[11]BASEL!H239</f>
        <v>2</v>
      </c>
      <c r="E246" s="138">
        <v>2</v>
      </c>
      <c r="F246" s="138">
        <v>1</v>
      </c>
      <c r="G246" s="139">
        <f t="shared" si="8"/>
        <v>1.6500000000000001</v>
      </c>
      <c r="H246" s="140" t="str">
        <f>IF(AND(G246&gt;=$C$6,G246&lt;=$D$6),$B$6,IF(AND(G246&gt;=$C$5,G246&lt;=$D$5),$B$5,IF(AND(G246&gt;=$C$4,G246&lt;=$D$4),$B$4,IF(AND(G246&gt;=#REF!,G246&lt;=#REF!),#REF!))))</f>
        <v>Medium</v>
      </c>
      <c r="I246" s="140"/>
      <c r="J246" s="141">
        <f t="shared" si="9"/>
        <v>1.6500000000000001</v>
      </c>
      <c r="K246" s="140" t="str">
        <f>IF(AND(J246&gt;=$C$6,J246&lt;=$D$6),$B$6,IF(AND(J246&gt;=$C$5,J246&lt;=$D$5),$B$5,IF(AND(J246&gt;=$C$4,J246&lt;=$D$4),$B$4,IF(AND(J246&gt;=#REF!,J246&lt;=#REF!),#REF!))))</f>
        <v>Medium</v>
      </c>
    </row>
    <row r="247" spans="2:11" x14ac:dyDescent="0.25">
      <c r="B247" s="137" t="s">
        <v>1217</v>
      </c>
      <c r="C247" s="138">
        <f>[11]FATF!D239</f>
        <v>1</v>
      </c>
      <c r="D247" s="138">
        <f>[11]BASEL!H240</f>
        <v>1</v>
      </c>
      <c r="E247" s="138">
        <v>1</v>
      </c>
      <c r="F247" s="138">
        <v>1</v>
      </c>
      <c r="G247" s="139">
        <f t="shared" si="8"/>
        <v>1</v>
      </c>
      <c r="H247" s="140" t="str">
        <f>IF(AND(G247&gt;=$C$6,G247&lt;=$D$6),$B$6,IF(AND(G247&gt;=$C$5,G247&lt;=$D$5),$B$5,IF(AND(G247&gt;=$C$4,G247&lt;=$D$4),$B$4,IF(AND(G247&gt;=#REF!,G247&lt;=#REF!),#REF!))))</f>
        <v>Low</v>
      </c>
      <c r="I247" s="140"/>
      <c r="J247" s="141">
        <f t="shared" si="9"/>
        <v>1</v>
      </c>
      <c r="K247" s="140" t="str">
        <f>IF(AND(J247&gt;=$C$6,J247&lt;=$D$6),$B$6,IF(AND(J247&gt;=$C$5,J247&lt;=$D$5),$B$5,IF(AND(J247&gt;=$C$4,J247&lt;=$D$4),$B$4,IF(AND(J247&gt;=#REF!,J247&lt;=#REF!),#REF!))))</f>
        <v>Low</v>
      </c>
    </row>
    <row r="248" spans="2:11" x14ac:dyDescent="0.25">
      <c r="B248" s="137" t="s">
        <v>78</v>
      </c>
      <c r="C248" s="138">
        <f>[11]FATF!D240</f>
        <v>1</v>
      </c>
      <c r="D248" s="138">
        <f>[11]BASEL!H241</f>
        <v>2</v>
      </c>
      <c r="E248" s="138">
        <v>1</v>
      </c>
      <c r="F248" s="138">
        <v>1</v>
      </c>
      <c r="G248" s="139">
        <f t="shared" si="8"/>
        <v>1.35</v>
      </c>
      <c r="H248" s="140" t="str">
        <f>IF(AND(G248&gt;=$C$6,G248&lt;=$D$6),$B$6,IF(AND(G248&gt;=$C$5,G248&lt;=$D$5),$B$5,IF(AND(G248&gt;=$C$4,G248&lt;=$D$4),$B$4,IF(AND(G248&gt;=#REF!,G248&lt;=#REF!),#REF!))))</f>
        <v>Medium</v>
      </c>
      <c r="I248" s="140"/>
      <c r="J248" s="141">
        <f t="shared" si="9"/>
        <v>1.35</v>
      </c>
      <c r="K248" s="140" t="str">
        <f>IF(AND(J248&gt;=$C$6,J248&lt;=$D$6),$B$6,IF(AND(J248&gt;=$C$5,J248&lt;=$D$5),$B$5,IF(AND(J248&gt;=$C$4,J248&lt;=$D$4),$B$4,IF(AND(J248&gt;=#REF!,J248&lt;=#REF!),#REF!))))</f>
        <v>Medium</v>
      </c>
    </row>
    <row r="249" spans="2:11" x14ac:dyDescent="0.25">
      <c r="B249" s="137" t="s">
        <v>79</v>
      </c>
      <c r="C249" s="138">
        <f>[11]FATF!D241</f>
        <v>1</v>
      </c>
      <c r="D249" s="138">
        <f>[11]BASEL!H242</f>
        <v>2</v>
      </c>
      <c r="E249" s="138">
        <v>1</v>
      </c>
      <c r="F249" s="138">
        <v>1</v>
      </c>
      <c r="G249" s="139">
        <f t="shared" si="8"/>
        <v>1.35</v>
      </c>
      <c r="H249" s="140" t="str">
        <f>IF(AND(G249&gt;=$C$6,G249&lt;=$D$6),$B$6,IF(AND(G249&gt;=$C$5,G249&lt;=$D$5),$B$5,IF(AND(G249&gt;=$C$4,G249&lt;=$D$4),$B$4,IF(AND(G249&gt;=#REF!,G249&lt;=#REF!),#REF!))))</f>
        <v>Medium</v>
      </c>
      <c r="I249" s="140"/>
      <c r="J249" s="141">
        <f t="shared" si="9"/>
        <v>1.35</v>
      </c>
      <c r="K249" s="140" t="str">
        <f>IF(AND(J249&gt;=$C$6,J249&lt;=$D$6),$B$6,IF(AND(J249&gt;=$C$5,J249&lt;=$D$5),$B$5,IF(AND(J249&gt;=$C$4,J249&lt;=$D$4),$B$4,IF(AND(J249&gt;=#REF!,J249&lt;=#REF!),#REF!))))</f>
        <v>Medium</v>
      </c>
    </row>
    <row r="250" spans="2:11" x14ac:dyDescent="0.25">
      <c r="B250" s="137" t="s">
        <v>1388</v>
      </c>
      <c r="C250" s="142">
        <v>1</v>
      </c>
      <c r="D250" s="142">
        <v>1</v>
      </c>
      <c r="E250" s="138">
        <v>1</v>
      </c>
      <c r="F250" s="138">
        <v>1</v>
      </c>
      <c r="G250" s="139">
        <f t="shared" si="8"/>
        <v>1</v>
      </c>
      <c r="H250" s="140" t="str">
        <f>IF(AND(G250&gt;=$C$6,G250&lt;=$D$6),$B$6,IF(AND(G250&gt;=$C$5,G250&lt;=$D$5),$B$5,IF(AND(G250&gt;=$C$4,G250&lt;=$D$4),$B$4,IF(AND(G250&gt;=#REF!,G250&lt;=#REF!),#REF!))))</f>
        <v>Low</v>
      </c>
      <c r="I250" s="140"/>
      <c r="J250" s="141">
        <f t="shared" si="9"/>
        <v>1</v>
      </c>
      <c r="K250" s="140" t="str">
        <f>IF(AND(J250&gt;=$C$6,J250&lt;=$D$6),$B$6,IF(AND(J250&gt;=$C$5,J250&lt;=$D$5),$B$5,IF(AND(J250&gt;=$C$4,J250&lt;=$D$4),$B$4,IF(AND(J250&gt;=#REF!,J250&lt;=#REF!),#REF!))))</f>
        <v>Low</v>
      </c>
    </row>
    <row r="251" spans="2:11" x14ac:dyDescent="0.25">
      <c r="B251" s="137" t="s">
        <v>1389</v>
      </c>
      <c r="C251" s="142">
        <v>1</v>
      </c>
      <c r="D251" s="142">
        <v>1</v>
      </c>
      <c r="E251" s="138">
        <v>1</v>
      </c>
      <c r="F251" s="138">
        <v>1</v>
      </c>
      <c r="G251" s="139">
        <f t="shared" si="8"/>
        <v>1</v>
      </c>
      <c r="H251" s="140" t="str">
        <f>IF(AND(G251&gt;=$C$6,G251&lt;=$D$6),$B$6,IF(AND(G251&gt;=$C$5,G251&lt;=$D$5),$B$5,IF(AND(G251&gt;=$C$4,G251&lt;=$D$4),$B$4,IF(AND(G251&gt;=#REF!,G251&lt;=#REF!),#REF!))))</f>
        <v>Low</v>
      </c>
      <c r="I251" s="140"/>
      <c r="J251" s="141">
        <f t="shared" si="9"/>
        <v>1</v>
      </c>
      <c r="K251" s="140" t="str">
        <f>IF(AND(J251&gt;=$C$6,J251&lt;=$D$6),$B$6,IF(AND(J251&gt;=$C$5,J251&lt;=$D$5),$B$5,IF(AND(J251&gt;=$C$4,J251&lt;=$D$4),$B$4,IF(AND(J251&gt;=#REF!,J251&lt;=#REF!),#REF!))))</f>
        <v>Low</v>
      </c>
    </row>
    <row r="252" spans="2:11" x14ac:dyDescent="0.25">
      <c r="B252" s="137" t="s">
        <v>245</v>
      </c>
      <c r="C252" s="138">
        <f>[11]FATF!D244</f>
        <v>1</v>
      </c>
      <c r="D252" s="138">
        <f>[11]BASEL!H245</f>
        <v>2</v>
      </c>
      <c r="E252" s="138">
        <v>1</v>
      </c>
      <c r="F252" s="138">
        <v>1</v>
      </c>
      <c r="G252" s="139">
        <f t="shared" si="8"/>
        <v>1.35</v>
      </c>
      <c r="H252" s="140" t="str">
        <f>IF(AND(G252&gt;=$C$6,G252&lt;=$D$6),$B$6,IF(AND(G252&gt;=$C$5,G252&lt;=$D$5),$B$5,IF(AND(G252&gt;=$C$4,G252&lt;=$D$4),$B$4,IF(AND(G252&gt;=#REF!,G252&lt;=#REF!),#REF!))))</f>
        <v>Medium</v>
      </c>
      <c r="I252" s="140"/>
      <c r="J252" s="141">
        <f t="shared" si="9"/>
        <v>1.35</v>
      </c>
      <c r="K252" s="140" t="str">
        <f>IF(AND(J252&gt;=$C$6,J252&lt;=$D$6),$B$6,IF(AND(J252&gt;=$C$5,J252&lt;=$D$5),$B$5,IF(AND(J252&gt;=$C$4,J252&lt;=$D$4),$B$4,IF(AND(J252&gt;=#REF!,J252&lt;=#REF!),#REF!))))</f>
        <v>Medium</v>
      </c>
    </row>
    <row r="253" spans="2:11" x14ac:dyDescent="0.25">
      <c r="B253" s="137" t="s">
        <v>246</v>
      </c>
      <c r="C253" s="138">
        <f>[11]FATF!D245</f>
        <v>1</v>
      </c>
      <c r="D253" s="138">
        <f>[11]BASEL!H246</f>
        <v>2</v>
      </c>
      <c r="E253" s="138">
        <v>1</v>
      </c>
      <c r="F253" s="138">
        <v>1</v>
      </c>
      <c r="G253" s="139">
        <f t="shared" si="8"/>
        <v>1.35</v>
      </c>
      <c r="H253" s="140" t="str">
        <f>IF(AND(G253&gt;=$C$6,G253&lt;=$D$6),$B$6,IF(AND(G253&gt;=$C$5,G253&lt;=$D$5),$B$5,IF(AND(G253&gt;=$C$4,G253&lt;=$D$4),$B$4,IF(AND(G253&gt;=#REF!,G253&lt;=#REF!),#REF!))))</f>
        <v>Medium</v>
      </c>
      <c r="I253" s="140"/>
      <c r="J253" s="141">
        <f t="shared" si="9"/>
        <v>1.35</v>
      </c>
      <c r="K253" s="140" t="str">
        <f>IF(AND(J253&gt;=$C$6,J253&lt;=$D$6),$B$6,IF(AND(J253&gt;=$C$5,J253&lt;=$D$5),$B$5,IF(AND(J253&gt;=$C$4,J253&lt;=$D$4),$B$4,IF(AND(J253&gt;=#REF!,J253&lt;=#REF!),#REF!))))</f>
        <v>Medium</v>
      </c>
    </row>
    <row r="254" spans="2:11" x14ac:dyDescent="0.25">
      <c r="B254" s="137" t="s">
        <v>1390</v>
      </c>
      <c r="C254" s="138">
        <f>[11]FATF!D246</f>
        <v>1</v>
      </c>
      <c r="D254" s="142">
        <v>1</v>
      </c>
      <c r="E254" s="138">
        <v>1</v>
      </c>
      <c r="F254" s="138">
        <v>1</v>
      </c>
      <c r="G254" s="139">
        <f t="shared" si="8"/>
        <v>1</v>
      </c>
      <c r="H254" s="140" t="str">
        <f>IF(AND(G254&gt;=$C$6,G254&lt;=$D$6),$B$6,IF(AND(G254&gt;=$C$5,G254&lt;=$D$5),$B$5,IF(AND(G254&gt;=$C$4,G254&lt;=$D$4),$B$4,IF(AND(G254&gt;=#REF!,G254&lt;=#REF!),#REF!))))</f>
        <v>Low</v>
      </c>
      <c r="I254" s="140"/>
      <c r="J254" s="141">
        <f t="shared" si="9"/>
        <v>1</v>
      </c>
      <c r="K254" s="140" t="str">
        <f>IF(AND(J254&gt;=$C$6,J254&lt;=$D$6),$B$6,IF(AND(J254&gt;=$C$5,J254&lt;=$D$5),$B$5,IF(AND(J254&gt;=$C$4,J254&lt;=$D$4),$B$4,IF(AND(J254&gt;=#REF!,J254&lt;=#REF!),#REF!))))</f>
        <v>Low</v>
      </c>
    </row>
    <row r="255" spans="2:11" x14ac:dyDescent="0.25">
      <c r="B255" s="164" t="s">
        <v>80</v>
      </c>
      <c r="C255" s="138">
        <f>[11]FATF!D247</f>
        <v>1</v>
      </c>
      <c r="D255" s="138">
        <f>[11]BASEL!H248</f>
        <v>3</v>
      </c>
      <c r="E255" s="138">
        <v>2</v>
      </c>
      <c r="F255" s="138">
        <v>3</v>
      </c>
      <c r="G255" s="139">
        <f t="shared" si="8"/>
        <v>2.0999999999999996</v>
      </c>
      <c r="H255" s="140" t="str">
        <f>IF(AND(G255&gt;=$C$6,G255&lt;=$D$6),$B$6,IF(AND(G255&gt;=$C$5,G255&lt;=$D$5),$B$5,IF(AND(G255&gt;=$C$4,G255&lt;=$D$4),$B$4,IF(AND(G255&gt;=#REF!,G255&lt;=#REF!),#REF!))))</f>
        <v>High</v>
      </c>
      <c r="I255" s="166" t="s">
        <v>279</v>
      </c>
      <c r="J255" s="141">
        <f t="shared" si="9"/>
        <v>4</v>
      </c>
      <c r="K255" s="161" t="s">
        <v>279</v>
      </c>
    </row>
    <row r="256" spans="2:11" x14ac:dyDescent="0.25">
      <c r="B256" s="137" t="s">
        <v>81</v>
      </c>
      <c r="C256" s="138">
        <f>[11]FATF!D248</f>
        <v>2</v>
      </c>
      <c r="D256" s="138">
        <f>[11]BASEL!H249</f>
        <v>2</v>
      </c>
      <c r="E256" s="138">
        <v>1</v>
      </c>
      <c r="F256" s="138">
        <v>1</v>
      </c>
      <c r="G256" s="139">
        <f t="shared" si="8"/>
        <v>1.65</v>
      </c>
      <c r="H256" s="140" t="str">
        <f>IF(AND(G256&gt;=$C$6,G256&lt;=$D$6),$B$6,IF(AND(G256&gt;=$C$5,G256&lt;=$D$5),$B$5,IF(AND(G256&gt;=$C$4,G256&lt;=$D$4),$B$4,IF(AND(G256&gt;=#REF!,G256&lt;=#REF!),#REF!))))</f>
        <v>Medium</v>
      </c>
      <c r="I256" s="140" t="s">
        <v>1393</v>
      </c>
      <c r="J256" s="141">
        <f t="shared" si="9"/>
        <v>3</v>
      </c>
      <c r="K256" s="140" t="str">
        <f>IF(AND(J256&gt;=$C$6,J256&lt;=$D$6),$B$6,IF(AND(J256&gt;=$C$5,J256&lt;=$D$5),$B$5,IF(AND(J256&gt;=$C$4,J256&lt;=$D$4),$B$4,IF(AND(J256&gt;=#REF!,J256&lt;=#REF!),#REF!))))</f>
        <v>High</v>
      </c>
    </row>
    <row r="257" spans="2:11" x14ac:dyDescent="0.25">
      <c r="B257" s="137" t="s">
        <v>1391</v>
      </c>
      <c r="C257" s="142">
        <v>1</v>
      </c>
      <c r="D257" s="142">
        <v>1</v>
      </c>
      <c r="E257" s="138">
        <v>1</v>
      </c>
      <c r="F257" s="138">
        <v>1</v>
      </c>
      <c r="G257" s="139">
        <f t="shared" si="8"/>
        <v>1</v>
      </c>
      <c r="H257" s="140" t="str">
        <f>IF(AND(G257&gt;=$C$6,G257&lt;=$D$6),$B$6,IF(AND(G257&gt;=$C$5,G257&lt;=$D$5),$B$5,IF(AND(G257&gt;=$C$4,G257&lt;=$D$4),$B$4,IF(AND(G257&gt;=#REF!,G257&lt;=#REF!),#REF!))))</f>
        <v>Low</v>
      </c>
      <c r="I257" s="140"/>
      <c r="J257" s="141">
        <f t="shared" si="9"/>
        <v>1</v>
      </c>
      <c r="K257" s="140" t="str">
        <f>IF(AND(J257&gt;=$C$6,J257&lt;=$D$6),$B$6,IF(AND(J257&gt;=$C$5,J257&lt;=$D$5),$B$5,IF(AND(J257&gt;=$C$4,J257&lt;=$D$4),$B$4,IF(AND(J257&gt;=#REF!,J257&lt;=#REF!),#REF!))))</f>
        <v>Low</v>
      </c>
    </row>
    <row r="258" spans="2:11" x14ac:dyDescent="0.25">
      <c r="B258" s="137" t="s">
        <v>1392</v>
      </c>
      <c r="C258" s="142">
        <v>2</v>
      </c>
      <c r="D258" s="142">
        <v>2</v>
      </c>
      <c r="E258" s="138">
        <v>1</v>
      </c>
      <c r="F258" s="138">
        <v>1</v>
      </c>
      <c r="G258" s="139">
        <f t="shared" si="8"/>
        <v>1.65</v>
      </c>
      <c r="H258" s="140" t="str">
        <f>IF(AND(G258&gt;=$C$6,G258&lt;=$D$6),$B$6,IF(AND(G258&gt;=$C$5,G258&lt;=$D$5),$B$5,IF(AND(G258&gt;=$C$4,G258&lt;=$D$4),$B$4,IF(AND(G258&gt;=#REF!,G258&lt;=#REF!),#REF!))))</f>
        <v>Medium</v>
      </c>
      <c r="I258" s="140"/>
      <c r="J258" s="141">
        <f t="shared" si="9"/>
        <v>1.65</v>
      </c>
      <c r="K258" s="140" t="str">
        <f>IF(AND(J258&gt;=$C$6,J258&lt;=$D$6),$B$6,IF(AND(J258&gt;=$C$5,J258&lt;=$D$5),$B$5,IF(AND(J258&gt;=$C$4,J258&lt;=$D$4),$B$4,IF(AND(J258&gt;=#REF!,J258&lt;=#REF!),#REF!))))</f>
        <v>Medium</v>
      </c>
    </row>
    <row r="259" spans="2:11" x14ac:dyDescent="0.25">
      <c r="B259" s="137" t="s">
        <v>82</v>
      </c>
      <c r="C259" s="138">
        <f>[11]FATF!D251</f>
        <v>2</v>
      </c>
      <c r="D259" s="138">
        <f>[11]BASEL!H252</f>
        <v>3</v>
      </c>
      <c r="E259" s="138">
        <v>2</v>
      </c>
      <c r="F259" s="138">
        <v>3</v>
      </c>
      <c r="G259" s="139">
        <f t="shared" si="8"/>
        <v>2.4</v>
      </c>
      <c r="H259" s="140" t="str">
        <f>IF(AND(G259&gt;=$C$6,G259&lt;=$D$6),$B$6,IF(AND(G259&gt;=$C$5,G259&lt;=$D$5),$B$5,IF(AND(G259&gt;=$C$4,G259&lt;=$D$4),$B$4,IF(AND(G259&gt;=#REF!,G259&lt;=#REF!),#REF!))))</f>
        <v>High</v>
      </c>
      <c r="I259" s="166" t="s">
        <v>279</v>
      </c>
      <c r="J259" s="141">
        <f t="shared" si="9"/>
        <v>4</v>
      </c>
      <c r="K259" s="161" t="s">
        <v>279</v>
      </c>
    </row>
    <row r="260" spans="2:11" x14ac:dyDescent="0.25">
      <c r="B260" s="162" t="s">
        <v>83</v>
      </c>
      <c r="C260" s="138">
        <f>[11]FATF!D252</f>
        <v>1</v>
      </c>
      <c r="D260" s="138">
        <f>[11]BASEL!H253</f>
        <v>2</v>
      </c>
      <c r="E260" s="163">
        <v>1</v>
      </c>
      <c r="F260" s="163">
        <v>1</v>
      </c>
      <c r="G260" s="139">
        <f t="shared" si="8"/>
        <v>1.35</v>
      </c>
      <c r="H260" s="140" t="str">
        <f>IF(AND(G260&gt;=$C$6,G260&lt;=$D$6),$B$6,IF(AND(G260&gt;=$C$5,G260&lt;=$D$5),$B$5,IF(AND(G260&gt;=$C$4,G260&lt;=$D$4),$B$4,IF(AND(G260&gt;=#REF!,G260&lt;=#REF!),#REF!))))</f>
        <v>Medium</v>
      </c>
      <c r="I260" s="140"/>
      <c r="J260" s="141">
        <f t="shared" si="9"/>
        <v>1.35</v>
      </c>
      <c r="K260" s="140" t="str">
        <f>IF(AND(J260&gt;=$C$6,J260&lt;=$D$6),$B$6,IF(AND(J260&gt;=$C$5,J260&lt;=$D$5),$B$5,IF(AND(J260&gt;=$C$4,J260&lt;=$D$4),$B$4,IF(AND(J260&gt;=#REF!,J260&lt;=#REF!),#REF!))))</f>
        <v>Medium</v>
      </c>
    </row>
    <row r="261" spans="2:11" ht="25.5" customHeight="1" x14ac:dyDescent="0.25">
      <c r="B261" s="137" t="s">
        <v>84</v>
      </c>
      <c r="C261" s="138">
        <f>[11]FATF!D253</f>
        <v>1</v>
      </c>
      <c r="D261" s="138">
        <f>[11]BASEL!H254</f>
        <v>2</v>
      </c>
      <c r="E261" s="138">
        <v>2</v>
      </c>
      <c r="F261" s="138">
        <v>1</v>
      </c>
      <c r="G261" s="139">
        <f t="shared" si="8"/>
        <v>1.6500000000000001</v>
      </c>
      <c r="H261" s="140" t="str">
        <f>IF(AND(G261&gt;=$C$6,G261&lt;=$D$6),$B$6,IF(AND(G261&gt;=$C$5,G261&lt;=$D$5),$B$5,IF(AND(G261&gt;=$C$4,G261&lt;=$D$4),$B$4,IF(AND(G261&gt;=#REF!,G261&lt;=#REF!),#REF!))))</f>
        <v>Medium</v>
      </c>
      <c r="I261" s="140"/>
      <c r="J261" s="141">
        <f t="shared" si="9"/>
        <v>1.6500000000000001</v>
      </c>
      <c r="K261" s="140" t="str">
        <f>IF(AND(J261&gt;=$C$6,J261&lt;=$D$6),$B$6,IF(AND(J261&gt;=$C$5,J261&lt;=$D$5),$B$5,IF(AND(J261&gt;=$C$4,J261&lt;=$D$4),$B$4,IF(AND(J261&gt;=#REF!,J261&lt;=#REF!),#REF!))))</f>
        <v>Medium</v>
      </c>
    </row>
    <row r="262" spans="2:11" x14ac:dyDescent="0.25">
      <c r="B262" s="359" t="s">
        <v>1416</v>
      </c>
      <c r="C262" s="359"/>
      <c r="D262" s="359"/>
      <c r="E262" s="359"/>
      <c r="F262" s="359"/>
      <c r="G262" s="359"/>
      <c r="H262" s="359"/>
      <c r="I262" s="359"/>
      <c r="J262" s="359"/>
      <c r="K262" s="140"/>
    </row>
    <row r="269" spans="2:11" x14ac:dyDescent="0.25">
      <c r="B269" s="125" t="s">
        <v>1442</v>
      </c>
    </row>
  </sheetData>
  <sheetProtection selectLockedCells="1" selectUnlockedCells="1"/>
  <autoFilter ref="B8:J262" xr:uid="{D6C28313-91BE-4247-90DD-DD9C51872AB2}"/>
  <mergeCells count="2">
    <mergeCell ref="L8:M8"/>
    <mergeCell ref="B262:J262"/>
  </mergeCells>
  <conditionalFormatting sqref="K10:K66 K68:K114 K116:K161 K163:K174 K176:K254 K256:K258 K260:K262">
    <cfRule type="containsText" dxfId="2" priority="1" operator="containsText" text="low">
      <formula>NOT(ISERROR(SEARCH("low",K10)))</formula>
    </cfRule>
    <cfRule type="containsText" dxfId="1" priority="2" operator="containsText" text="medium">
      <formula>NOT(ISERROR(SEARCH("medium",K10)))</formula>
    </cfRule>
    <cfRule type="containsText" dxfId="0" priority="3" operator="containsText" text="high">
      <formula>NOT(ISERROR(SEARCH("high",K10)))</formula>
    </cfRule>
  </conditionalFormatting>
  <pageMargins left="0.7" right="0.7" top="0.75" bottom="0.75" header="0.3" footer="0.3"/>
  <pageSetup scale="43" fitToHeight="0"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554C6-F17B-4242-9DE5-73824965FA5D}">
  <dimension ref="A1:W30"/>
  <sheetViews>
    <sheetView showGridLines="0" workbookViewId="0">
      <selection activeCell="B33" sqref="B33"/>
    </sheetView>
  </sheetViews>
  <sheetFormatPr defaultColWidth="9.140625" defaultRowHeight="13.5" x14ac:dyDescent="0.25"/>
  <cols>
    <col min="1" max="1" width="12.5703125" style="10" bestFit="1" customWidth="1"/>
    <col min="2" max="2" width="27.28515625" style="10" bestFit="1" customWidth="1"/>
    <col min="3" max="3" width="7.85546875" style="10" bestFit="1" customWidth="1"/>
    <col min="4" max="4" width="9" style="10" bestFit="1" customWidth="1"/>
    <col min="5" max="5" width="7.5703125" style="10" bestFit="1" customWidth="1"/>
    <col min="6" max="6" width="12.5703125" style="10" bestFit="1" customWidth="1"/>
    <col min="7" max="7" width="12.140625" style="10" bestFit="1" customWidth="1"/>
    <col min="8" max="8" width="12.5703125" style="10" bestFit="1" customWidth="1"/>
    <col min="9" max="9" width="7.140625" style="10" bestFit="1" customWidth="1"/>
    <col min="10" max="10" width="12.5703125" style="10" bestFit="1" customWidth="1"/>
    <col min="11" max="11" width="12.7109375" style="10" bestFit="1" customWidth="1"/>
    <col min="12" max="12" width="5.85546875" style="10" bestFit="1" customWidth="1"/>
    <col min="13" max="13" width="7.140625" style="10" bestFit="1" customWidth="1"/>
    <col min="14" max="14" width="5.85546875" style="10" bestFit="1" customWidth="1"/>
    <col min="15" max="15" width="12.140625" style="10" bestFit="1" customWidth="1"/>
    <col min="16" max="16" width="5.85546875" style="10" bestFit="1" customWidth="1"/>
    <col min="17" max="17" width="7.140625" style="10" bestFit="1" customWidth="1"/>
    <col min="18" max="18" width="5.85546875" style="10" bestFit="1" customWidth="1"/>
    <col min="19" max="19" width="7.140625" style="10" bestFit="1" customWidth="1"/>
    <col min="20" max="20" width="5.85546875" style="10" bestFit="1" customWidth="1"/>
    <col min="21" max="21" width="7.140625" style="10" bestFit="1" customWidth="1"/>
    <col min="22" max="22" width="5.85546875" style="10" bestFit="1" customWidth="1"/>
    <col min="23" max="16384" width="9.140625" style="10"/>
  </cols>
  <sheetData>
    <row r="1" spans="1:22" x14ac:dyDescent="0.25">
      <c r="A1" s="20" t="s">
        <v>119</v>
      </c>
      <c r="B1" s="20"/>
      <c r="C1" s="20"/>
      <c r="D1" s="25"/>
    </row>
    <row r="2" spans="1:22" x14ac:dyDescent="0.25">
      <c r="A2" s="21" t="s">
        <v>120</v>
      </c>
      <c r="B2" s="21" t="s">
        <v>273</v>
      </c>
      <c r="C2" s="21" t="s">
        <v>274</v>
      </c>
      <c r="D2" s="26"/>
      <c r="E2" s="26"/>
    </row>
    <row r="3" spans="1:22" x14ac:dyDescent="0.25">
      <c r="A3" s="22" t="s">
        <v>3</v>
      </c>
      <c r="B3" s="23">
        <v>2.0099999999999998</v>
      </c>
      <c r="C3" s="24">
        <v>3</v>
      </c>
      <c r="D3" s="27"/>
      <c r="E3" s="29"/>
    </row>
    <row r="4" spans="1:22" x14ac:dyDescent="0.25">
      <c r="A4" s="22" t="s">
        <v>1</v>
      </c>
      <c r="B4" s="23">
        <v>1.01</v>
      </c>
      <c r="C4" s="24">
        <v>2</v>
      </c>
      <c r="D4" s="27"/>
      <c r="E4" s="29"/>
    </row>
    <row r="5" spans="1:22" x14ac:dyDescent="0.25">
      <c r="A5" s="22" t="s">
        <v>2</v>
      </c>
      <c r="B5" s="23">
        <v>0</v>
      </c>
      <c r="C5" s="24">
        <v>1</v>
      </c>
      <c r="D5" s="27"/>
      <c r="E5" s="29"/>
    </row>
    <row r="6" spans="1:22" ht="13.9" customHeight="1" x14ac:dyDescent="0.25">
      <c r="A6" s="28"/>
      <c r="B6" s="27"/>
      <c r="C6" s="29"/>
      <c r="D6" s="27"/>
      <c r="E6" s="29"/>
    </row>
    <row r="7" spans="1:22" hidden="1" x14ac:dyDescent="0.25">
      <c r="G7" s="11"/>
      <c r="I7" s="11"/>
      <c r="Q7" s="11"/>
    </row>
    <row r="8" spans="1:22" ht="133.5" customHeight="1" x14ac:dyDescent="0.25">
      <c r="A8" s="362" t="s">
        <v>1241</v>
      </c>
      <c r="B8" s="362" t="s">
        <v>1242</v>
      </c>
      <c r="C8" s="363" t="s">
        <v>1243</v>
      </c>
      <c r="D8" s="363" t="s">
        <v>1244</v>
      </c>
      <c r="E8" s="360" t="s">
        <v>429</v>
      </c>
      <c r="F8" s="360"/>
      <c r="G8" s="360" t="s">
        <v>430</v>
      </c>
      <c r="H8" s="360"/>
      <c r="I8" s="360" t="s">
        <v>1245</v>
      </c>
      <c r="J8" s="360"/>
      <c r="K8" s="360" t="s">
        <v>431</v>
      </c>
      <c r="L8" s="360"/>
      <c r="M8" s="360" t="s">
        <v>1246</v>
      </c>
      <c r="N8" s="360"/>
      <c r="O8" s="360" t="s">
        <v>1247</v>
      </c>
      <c r="P8" s="360"/>
      <c r="Q8" s="360" t="s">
        <v>1248</v>
      </c>
      <c r="R8" s="360"/>
      <c r="S8" s="360" t="s">
        <v>432</v>
      </c>
      <c r="T8" s="360"/>
      <c r="U8" s="360" t="s">
        <v>1249</v>
      </c>
      <c r="V8" s="360"/>
    </row>
    <row r="9" spans="1:22" ht="36.75" customHeight="1" x14ac:dyDescent="0.25">
      <c r="A9" s="362"/>
      <c r="B9" s="362"/>
      <c r="C9" s="363"/>
      <c r="D9" s="363"/>
      <c r="E9" s="364" t="s">
        <v>248</v>
      </c>
      <c r="F9" s="364"/>
      <c r="G9" s="364" t="s">
        <v>282</v>
      </c>
      <c r="H9" s="364"/>
      <c r="I9" s="364" t="s">
        <v>249</v>
      </c>
      <c r="J9" s="364"/>
      <c r="K9" s="364" t="s">
        <v>250</v>
      </c>
      <c r="L9" s="364"/>
      <c r="M9" s="364" t="s">
        <v>251</v>
      </c>
      <c r="N9" s="364"/>
      <c r="O9" s="364" t="s">
        <v>1250</v>
      </c>
      <c r="P9" s="364"/>
      <c r="Q9" s="364" t="s">
        <v>252</v>
      </c>
      <c r="R9" s="364"/>
      <c r="S9" s="364" t="s">
        <v>253</v>
      </c>
      <c r="T9" s="364"/>
      <c r="U9" s="364" t="s">
        <v>1251</v>
      </c>
      <c r="V9" s="364"/>
    </row>
    <row r="10" spans="1:22" x14ac:dyDescent="0.25">
      <c r="A10" s="362"/>
      <c r="B10" s="362"/>
      <c r="C10" s="363"/>
      <c r="D10" s="363"/>
      <c r="E10" s="361">
        <f>100/900</f>
        <v>0.1111111111111111</v>
      </c>
      <c r="F10" s="361"/>
      <c r="G10" s="361">
        <f>100/900</f>
        <v>0.1111111111111111</v>
      </c>
      <c r="H10" s="361"/>
      <c r="I10" s="361">
        <f>100/900</f>
        <v>0.1111111111111111</v>
      </c>
      <c r="J10" s="361"/>
      <c r="K10" s="361">
        <f>100/900</f>
        <v>0.1111111111111111</v>
      </c>
      <c r="L10" s="361"/>
      <c r="M10" s="361">
        <f>100/900</f>
        <v>0.1111111111111111</v>
      </c>
      <c r="N10" s="361"/>
      <c r="O10" s="361">
        <f>100/900</f>
        <v>0.1111111111111111</v>
      </c>
      <c r="P10" s="361"/>
      <c r="Q10" s="361">
        <f>100/900</f>
        <v>0.1111111111111111</v>
      </c>
      <c r="R10" s="361"/>
      <c r="S10" s="361">
        <f>100/900</f>
        <v>0.1111111111111111</v>
      </c>
      <c r="T10" s="361"/>
      <c r="U10" s="361">
        <f>100/900</f>
        <v>0.1111111111111111</v>
      </c>
      <c r="V10" s="361"/>
    </row>
    <row r="11" spans="1:22" x14ac:dyDescent="0.25">
      <c r="A11" s="362"/>
      <c r="B11" s="362"/>
      <c r="C11" s="363"/>
      <c r="D11" s="363"/>
      <c r="E11" s="15" t="s">
        <v>254</v>
      </c>
      <c r="F11" s="15" t="s">
        <v>255</v>
      </c>
      <c r="G11" s="15" t="s">
        <v>254</v>
      </c>
      <c r="H11" s="15" t="s">
        <v>255</v>
      </c>
      <c r="I11" s="15" t="s">
        <v>254</v>
      </c>
      <c r="J11" s="15" t="s">
        <v>255</v>
      </c>
      <c r="K11" s="15" t="s">
        <v>254</v>
      </c>
      <c r="L11" s="15" t="s">
        <v>255</v>
      </c>
      <c r="M11" s="15" t="s">
        <v>254</v>
      </c>
      <c r="N11" s="15" t="s">
        <v>255</v>
      </c>
      <c r="O11" s="15" t="s">
        <v>254</v>
      </c>
      <c r="P11" s="15" t="s">
        <v>255</v>
      </c>
      <c r="Q11" s="15" t="s">
        <v>254</v>
      </c>
      <c r="R11" s="15" t="s">
        <v>255</v>
      </c>
      <c r="S11" s="15" t="s">
        <v>254</v>
      </c>
      <c r="T11" s="15" t="s">
        <v>255</v>
      </c>
      <c r="U11" s="15" t="s">
        <v>254</v>
      </c>
      <c r="V11" s="15" t="s">
        <v>255</v>
      </c>
    </row>
    <row r="12" spans="1:22" ht="16.899999999999999" customHeight="1" x14ac:dyDescent="0.25">
      <c r="A12" s="16">
        <v>1</v>
      </c>
      <c r="B12" s="17" t="s">
        <v>1252</v>
      </c>
      <c r="C12" s="18">
        <f>($E$10*F12)+($G$10*H12)+($I$10*J12)+($K$10*L12)+($M$10*N12)+($O$10*P12)+($Q$10*R12)+($S$10*T12)+($U$10*V12)</f>
        <v>1.8888888888888888</v>
      </c>
      <c r="D12" s="16" t="str">
        <f t="shared" ref="D12:D20" si="0">IF(AND(C12&gt;=$B$5,C12&lt;=$C$5),$A$5,IF(AND(C12&gt;=$B$4,C12&lt;=$C$4),$A$4,IF(AND(C12&gt;=$B$3,C12&lt;=$C$3),$A$3)))</f>
        <v>Medium</v>
      </c>
      <c r="E12" s="19" t="s">
        <v>256</v>
      </c>
      <c r="F12" s="19">
        <f t="shared" ref="F12:F22" si="1">VLOOKUP(E12,$F$27:$G$30,2,FALSE)</f>
        <v>3</v>
      </c>
      <c r="G12" s="19" t="s">
        <v>283</v>
      </c>
      <c r="H12" s="19">
        <f t="shared" ref="H12:H22" si="2">VLOOKUP(G12,$H$27:$I$30,2,FALSE)</f>
        <v>1</v>
      </c>
      <c r="I12" s="19" t="s">
        <v>258</v>
      </c>
      <c r="J12" s="19">
        <f t="shared" ref="J12:J22" si="3">VLOOKUP(I12,$J$27:$K$29,2,FALSE)</f>
        <v>3</v>
      </c>
      <c r="K12" s="19" t="s">
        <v>258</v>
      </c>
      <c r="L12" s="19">
        <f t="shared" ref="L12:L22" si="4">VLOOKUP(K12,$J$27:$K$29,2,FALSE)</f>
        <v>3</v>
      </c>
      <c r="M12" s="19" t="s">
        <v>258</v>
      </c>
      <c r="N12" s="19">
        <f t="shared" ref="N12:N22" si="5">VLOOKUP(M12,$J$27:$K$29,2,FALSE)</f>
        <v>3</v>
      </c>
      <c r="O12" s="19" t="s">
        <v>283</v>
      </c>
      <c r="P12" s="19">
        <f t="shared" ref="P12:P22" si="6">VLOOKUP(O12,$H$27:$I$30,2,FALSE)</f>
        <v>1</v>
      </c>
      <c r="Q12" s="19" t="s">
        <v>259</v>
      </c>
      <c r="R12" s="19">
        <f t="shared" ref="R12:R22" si="7">VLOOKUP(Q12,$J$27:$K$29,2,FALSE)</f>
        <v>1</v>
      </c>
      <c r="S12" s="19" t="s">
        <v>259</v>
      </c>
      <c r="T12" s="19">
        <f t="shared" ref="T12:T22" si="8">VLOOKUP(S12,$J$27:$K$29,2,FALSE)</f>
        <v>1</v>
      </c>
      <c r="U12" s="19" t="s">
        <v>259</v>
      </c>
      <c r="V12" s="19">
        <f t="shared" ref="V12:V22" si="9">VLOOKUP(U12,$J$27:$K$29,2,FALSE)</f>
        <v>1</v>
      </c>
    </row>
    <row r="13" spans="1:22" x14ac:dyDescent="0.25">
      <c r="A13" s="16">
        <v>2</v>
      </c>
      <c r="B13" s="17" t="s">
        <v>1253</v>
      </c>
      <c r="C13" s="18">
        <f t="shared" ref="C13:C20" si="10">($E$10*F13)+($G$10*H13)+($I$10*J13)+($K$10*L13)+($M$10*N13)+($O$10*P13)+($Q$10*R13)+($S$10*T13)+($U$10*V13)</f>
        <v>1.2222222222222225</v>
      </c>
      <c r="D13" s="16" t="str">
        <f t="shared" si="0"/>
        <v>Medium</v>
      </c>
      <c r="E13" s="19" t="s">
        <v>256</v>
      </c>
      <c r="F13" s="19">
        <f t="shared" si="1"/>
        <v>3</v>
      </c>
      <c r="G13" s="19" t="s">
        <v>283</v>
      </c>
      <c r="H13" s="19">
        <f t="shared" si="2"/>
        <v>1</v>
      </c>
      <c r="I13" s="19" t="s">
        <v>259</v>
      </c>
      <c r="J13" s="19">
        <f t="shared" si="3"/>
        <v>1</v>
      </c>
      <c r="K13" s="19" t="s">
        <v>259</v>
      </c>
      <c r="L13" s="19">
        <f t="shared" si="4"/>
        <v>1</v>
      </c>
      <c r="M13" s="19" t="s">
        <v>259</v>
      </c>
      <c r="N13" s="19">
        <f t="shared" si="5"/>
        <v>1</v>
      </c>
      <c r="O13" s="19" t="s">
        <v>283</v>
      </c>
      <c r="P13" s="19">
        <f t="shared" si="6"/>
        <v>1</v>
      </c>
      <c r="Q13" s="19" t="s">
        <v>259</v>
      </c>
      <c r="R13" s="19">
        <f t="shared" si="7"/>
        <v>1</v>
      </c>
      <c r="S13" s="19" t="s">
        <v>259</v>
      </c>
      <c r="T13" s="19">
        <f t="shared" si="8"/>
        <v>1</v>
      </c>
      <c r="U13" s="19" t="s">
        <v>259</v>
      </c>
      <c r="V13" s="19">
        <f t="shared" si="9"/>
        <v>1</v>
      </c>
    </row>
    <row r="14" spans="1:22" x14ac:dyDescent="0.25">
      <c r="A14" s="16">
        <v>3</v>
      </c>
      <c r="B14" s="17" t="s">
        <v>1254</v>
      </c>
      <c r="C14" s="18">
        <f t="shared" si="10"/>
        <v>1.7777777777777779</v>
      </c>
      <c r="D14" s="16" t="str">
        <f t="shared" si="0"/>
        <v>Medium</v>
      </c>
      <c r="E14" s="19" t="s">
        <v>256</v>
      </c>
      <c r="F14" s="19">
        <f t="shared" si="1"/>
        <v>3</v>
      </c>
      <c r="G14" s="19" t="s">
        <v>257</v>
      </c>
      <c r="H14" s="19">
        <f t="shared" si="2"/>
        <v>2</v>
      </c>
      <c r="I14" s="19" t="s">
        <v>258</v>
      </c>
      <c r="J14" s="19">
        <f t="shared" si="3"/>
        <v>3</v>
      </c>
      <c r="K14" s="19" t="s">
        <v>258</v>
      </c>
      <c r="L14" s="19">
        <f t="shared" si="4"/>
        <v>3</v>
      </c>
      <c r="M14" s="19" t="s">
        <v>259</v>
      </c>
      <c r="N14" s="19">
        <f t="shared" si="5"/>
        <v>1</v>
      </c>
      <c r="O14" s="19" t="s">
        <v>283</v>
      </c>
      <c r="P14" s="19">
        <f t="shared" si="6"/>
        <v>1</v>
      </c>
      <c r="Q14" s="19" t="s">
        <v>259</v>
      </c>
      <c r="R14" s="19">
        <f t="shared" si="7"/>
        <v>1</v>
      </c>
      <c r="S14" s="19" t="s">
        <v>259</v>
      </c>
      <c r="T14" s="19">
        <f t="shared" si="8"/>
        <v>1</v>
      </c>
      <c r="U14" s="19" t="s">
        <v>259</v>
      </c>
      <c r="V14" s="19">
        <f t="shared" si="9"/>
        <v>1</v>
      </c>
    </row>
    <row r="15" spans="1:22" x14ac:dyDescent="0.25">
      <c r="A15" s="16">
        <v>4</v>
      </c>
      <c r="B15" s="17" t="s">
        <v>1255</v>
      </c>
      <c r="C15" s="18">
        <f t="shared" si="10"/>
        <v>1.8888888888888888</v>
      </c>
      <c r="D15" s="16" t="str">
        <f t="shared" si="0"/>
        <v>Medium</v>
      </c>
      <c r="E15" s="178" t="s">
        <v>256</v>
      </c>
      <c r="F15" s="19">
        <f t="shared" si="1"/>
        <v>3</v>
      </c>
      <c r="G15" s="178" t="s">
        <v>283</v>
      </c>
      <c r="H15" s="19">
        <f t="shared" si="2"/>
        <v>1</v>
      </c>
      <c r="I15" s="19" t="s">
        <v>258</v>
      </c>
      <c r="J15" s="19">
        <f t="shared" si="3"/>
        <v>3</v>
      </c>
      <c r="K15" s="19" t="s">
        <v>259</v>
      </c>
      <c r="L15" s="19">
        <f t="shared" si="4"/>
        <v>1</v>
      </c>
      <c r="M15" s="19" t="s">
        <v>258</v>
      </c>
      <c r="N15" s="19">
        <f t="shared" si="5"/>
        <v>3</v>
      </c>
      <c r="O15" s="178" t="s">
        <v>283</v>
      </c>
      <c r="P15" s="19">
        <f t="shared" si="6"/>
        <v>1</v>
      </c>
      <c r="Q15" s="19" t="s">
        <v>259</v>
      </c>
      <c r="R15" s="19">
        <f t="shared" si="7"/>
        <v>1</v>
      </c>
      <c r="S15" s="19" t="s">
        <v>259</v>
      </c>
      <c r="T15" s="19">
        <f t="shared" si="8"/>
        <v>1</v>
      </c>
      <c r="U15" s="19" t="s">
        <v>258</v>
      </c>
      <c r="V15" s="19">
        <f t="shared" si="9"/>
        <v>3</v>
      </c>
    </row>
    <row r="16" spans="1:22" x14ac:dyDescent="0.25">
      <c r="A16" s="16">
        <v>5</v>
      </c>
      <c r="B16" s="17" t="s">
        <v>1256</v>
      </c>
      <c r="C16" s="18">
        <f t="shared" si="10"/>
        <v>1.8888888888888888</v>
      </c>
      <c r="D16" s="16" t="str">
        <f t="shared" si="0"/>
        <v>Medium</v>
      </c>
      <c r="E16" s="178" t="s">
        <v>411</v>
      </c>
      <c r="F16" s="19">
        <f t="shared" si="1"/>
        <v>2</v>
      </c>
      <c r="G16" s="178" t="s">
        <v>257</v>
      </c>
      <c r="H16" s="19">
        <f t="shared" si="2"/>
        <v>2</v>
      </c>
      <c r="I16" s="19" t="s">
        <v>258</v>
      </c>
      <c r="J16" s="19">
        <f t="shared" si="3"/>
        <v>3</v>
      </c>
      <c r="K16" s="19" t="s">
        <v>259</v>
      </c>
      <c r="L16" s="19">
        <f t="shared" si="4"/>
        <v>1</v>
      </c>
      <c r="M16" s="19" t="s">
        <v>259</v>
      </c>
      <c r="N16" s="19">
        <f t="shared" si="5"/>
        <v>1</v>
      </c>
      <c r="O16" s="178" t="s">
        <v>409</v>
      </c>
      <c r="P16" s="19">
        <f t="shared" si="6"/>
        <v>3</v>
      </c>
      <c r="Q16" s="19" t="s">
        <v>259</v>
      </c>
      <c r="R16" s="19">
        <f t="shared" si="7"/>
        <v>1</v>
      </c>
      <c r="S16" s="19" t="s">
        <v>258</v>
      </c>
      <c r="T16" s="19">
        <f t="shared" si="8"/>
        <v>3</v>
      </c>
      <c r="U16" s="19" t="s">
        <v>259</v>
      </c>
      <c r="V16" s="19">
        <f t="shared" si="9"/>
        <v>1</v>
      </c>
    </row>
    <row r="17" spans="1:23" x14ac:dyDescent="0.25">
      <c r="A17" s="16">
        <v>6</v>
      </c>
      <c r="B17" s="17" t="s">
        <v>1257</v>
      </c>
      <c r="C17" s="18">
        <f t="shared" si="10"/>
        <v>2</v>
      </c>
      <c r="D17" s="16" t="str">
        <f t="shared" si="0"/>
        <v>Medium</v>
      </c>
      <c r="E17" s="178" t="s">
        <v>411</v>
      </c>
      <c r="F17" s="19">
        <f t="shared" si="1"/>
        <v>2</v>
      </c>
      <c r="G17" s="178" t="s">
        <v>409</v>
      </c>
      <c r="H17" s="19">
        <f t="shared" si="2"/>
        <v>3</v>
      </c>
      <c r="I17" s="19" t="s">
        <v>258</v>
      </c>
      <c r="J17" s="19">
        <f t="shared" si="3"/>
        <v>3</v>
      </c>
      <c r="K17" s="19" t="s">
        <v>259</v>
      </c>
      <c r="L17" s="19">
        <f t="shared" si="4"/>
        <v>1</v>
      </c>
      <c r="M17" s="19" t="s">
        <v>259</v>
      </c>
      <c r="N17" s="19">
        <f t="shared" si="5"/>
        <v>1</v>
      </c>
      <c r="O17" s="178" t="s">
        <v>283</v>
      </c>
      <c r="P17" s="19">
        <f t="shared" si="6"/>
        <v>1</v>
      </c>
      <c r="Q17" s="19" t="s">
        <v>258</v>
      </c>
      <c r="R17" s="19">
        <f t="shared" si="7"/>
        <v>3</v>
      </c>
      <c r="S17" s="19" t="s">
        <v>258</v>
      </c>
      <c r="T17" s="19">
        <f t="shared" si="8"/>
        <v>3</v>
      </c>
      <c r="U17" s="19" t="s">
        <v>259</v>
      </c>
      <c r="V17" s="19">
        <f t="shared" si="9"/>
        <v>1</v>
      </c>
    </row>
    <row r="18" spans="1:23" x14ac:dyDescent="0.25">
      <c r="A18" s="16">
        <v>7</v>
      </c>
      <c r="B18" s="17" t="s">
        <v>1258</v>
      </c>
      <c r="C18" s="18">
        <f t="shared" si="10"/>
        <v>2</v>
      </c>
      <c r="D18" s="16" t="str">
        <f t="shared" si="0"/>
        <v>Medium</v>
      </c>
      <c r="E18" s="19" t="s">
        <v>411</v>
      </c>
      <c r="F18" s="19">
        <f t="shared" si="1"/>
        <v>2</v>
      </c>
      <c r="G18" s="19" t="s">
        <v>257</v>
      </c>
      <c r="H18" s="19">
        <f t="shared" si="2"/>
        <v>2</v>
      </c>
      <c r="I18" s="19" t="s">
        <v>258</v>
      </c>
      <c r="J18" s="19">
        <f t="shared" si="3"/>
        <v>3</v>
      </c>
      <c r="K18" s="19" t="s">
        <v>258</v>
      </c>
      <c r="L18" s="19">
        <f t="shared" si="4"/>
        <v>3</v>
      </c>
      <c r="M18" s="19" t="s">
        <v>258</v>
      </c>
      <c r="N18" s="19">
        <f t="shared" si="5"/>
        <v>3</v>
      </c>
      <c r="O18" s="19" t="s">
        <v>257</v>
      </c>
      <c r="P18" s="19">
        <f t="shared" si="6"/>
        <v>2</v>
      </c>
      <c r="Q18" s="19" t="s">
        <v>259</v>
      </c>
      <c r="R18" s="19">
        <f t="shared" si="7"/>
        <v>1</v>
      </c>
      <c r="S18" s="19" t="s">
        <v>259</v>
      </c>
      <c r="T18" s="19">
        <f t="shared" si="8"/>
        <v>1</v>
      </c>
      <c r="U18" s="19" t="s">
        <v>259</v>
      </c>
      <c r="V18" s="19">
        <f t="shared" si="9"/>
        <v>1</v>
      </c>
    </row>
    <row r="19" spans="1:23" x14ac:dyDescent="0.25">
      <c r="A19" s="16">
        <v>8</v>
      </c>
      <c r="B19" s="17" t="s">
        <v>1259</v>
      </c>
      <c r="C19" s="18">
        <f t="shared" si="10"/>
        <v>1.8888888888888891</v>
      </c>
      <c r="D19" s="16" t="str">
        <f t="shared" si="0"/>
        <v>Medium</v>
      </c>
      <c r="E19" s="19" t="s">
        <v>256</v>
      </c>
      <c r="F19" s="19">
        <f t="shared" si="1"/>
        <v>3</v>
      </c>
      <c r="G19" s="19" t="s">
        <v>409</v>
      </c>
      <c r="H19" s="19">
        <f t="shared" si="2"/>
        <v>3</v>
      </c>
      <c r="I19" s="19" t="s">
        <v>258</v>
      </c>
      <c r="J19" s="19">
        <f t="shared" si="3"/>
        <v>3</v>
      </c>
      <c r="K19" s="19" t="s">
        <v>259</v>
      </c>
      <c r="L19" s="19">
        <f t="shared" si="4"/>
        <v>1</v>
      </c>
      <c r="M19" s="19" t="s">
        <v>259</v>
      </c>
      <c r="N19" s="19">
        <f t="shared" si="5"/>
        <v>1</v>
      </c>
      <c r="O19" s="19" t="s">
        <v>283</v>
      </c>
      <c r="P19" s="19">
        <f t="shared" si="6"/>
        <v>1</v>
      </c>
      <c r="Q19" s="19" t="s">
        <v>259</v>
      </c>
      <c r="R19" s="19">
        <f t="shared" si="7"/>
        <v>1</v>
      </c>
      <c r="S19" s="19" t="s">
        <v>258</v>
      </c>
      <c r="T19" s="19">
        <f t="shared" si="8"/>
        <v>3</v>
      </c>
      <c r="U19" s="19" t="s">
        <v>259</v>
      </c>
      <c r="V19" s="19">
        <f t="shared" si="9"/>
        <v>1</v>
      </c>
    </row>
    <row r="20" spans="1:23" x14ac:dyDescent="0.25">
      <c r="A20" s="16">
        <v>9</v>
      </c>
      <c r="B20" s="17" t="s">
        <v>1417</v>
      </c>
      <c r="C20" s="18">
        <f t="shared" si="10"/>
        <v>1.2222222222222225</v>
      </c>
      <c r="D20" s="16" t="str">
        <f t="shared" si="0"/>
        <v>Medium</v>
      </c>
      <c r="E20" s="19" t="s">
        <v>256</v>
      </c>
      <c r="F20" s="19">
        <f t="shared" si="1"/>
        <v>3</v>
      </c>
      <c r="G20" s="19" t="s">
        <v>283</v>
      </c>
      <c r="H20" s="19">
        <f t="shared" si="2"/>
        <v>1</v>
      </c>
      <c r="I20" s="19" t="s">
        <v>259</v>
      </c>
      <c r="J20" s="19">
        <f t="shared" si="3"/>
        <v>1</v>
      </c>
      <c r="K20" s="19" t="s">
        <v>259</v>
      </c>
      <c r="L20" s="19">
        <f t="shared" si="4"/>
        <v>1</v>
      </c>
      <c r="M20" s="19" t="s">
        <v>259</v>
      </c>
      <c r="N20" s="19">
        <f t="shared" si="5"/>
        <v>1</v>
      </c>
      <c r="O20" s="19" t="s">
        <v>283</v>
      </c>
      <c r="P20" s="19">
        <f t="shared" si="6"/>
        <v>1</v>
      </c>
      <c r="Q20" s="19" t="s">
        <v>259</v>
      </c>
      <c r="R20" s="19">
        <f t="shared" si="7"/>
        <v>1</v>
      </c>
      <c r="S20" s="19" t="s">
        <v>259</v>
      </c>
      <c r="T20" s="19">
        <f t="shared" si="8"/>
        <v>1</v>
      </c>
      <c r="U20" s="19" t="s">
        <v>259</v>
      </c>
      <c r="V20" s="19">
        <f t="shared" si="9"/>
        <v>1</v>
      </c>
    </row>
    <row r="21" spans="1:23" x14ac:dyDescent="0.25">
      <c r="A21" s="16">
        <v>10</v>
      </c>
      <c r="B21" s="17" t="s">
        <v>1331</v>
      </c>
      <c r="C21" s="18">
        <f t="shared" ref="C21:C23" si="11">($E$10*F21)+($G$10*H21)+($I$10*J21)+($K$10*L21)+($M$10*N21)+($O$10*P21)+($Q$10*R21)+($S$10*T21)+($U$10*V21)</f>
        <v>1.7777777777777777</v>
      </c>
      <c r="D21" s="16" t="str">
        <f t="shared" ref="D21:D23" si="12">IF(AND(C21&gt;=$B$5,C21&lt;=$C$5),$A$5,IF(AND(C21&gt;=$B$4,C21&lt;=$C$4),$A$4,IF(AND(C21&gt;=$B$3,C21&lt;=$C$3),$A$3)))</f>
        <v>Medium</v>
      </c>
      <c r="E21" s="19" t="s">
        <v>411</v>
      </c>
      <c r="F21" s="19">
        <f t="shared" si="1"/>
        <v>2</v>
      </c>
      <c r="G21" s="19" t="s">
        <v>257</v>
      </c>
      <c r="H21" s="19">
        <f t="shared" si="2"/>
        <v>2</v>
      </c>
      <c r="I21" s="19" t="s">
        <v>258</v>
      </c>
      <c r="J21" s="19">
        <f t="shared" si="3"/>
        <v>3</v>
      </c>
      <c r="K21" s="19" t="s">
        <v>258</v>
      </c>
      <c r="L21" s="19">
        <f t="shared" si="4"/>
        <v>3</v>
      </c>
      <c r="M21" s="19" t="s">
        <v>259</v>
      </c>
      <c r="N21" s="19">
        <f t="shared" si="5"/>
        <v>1</v>
      </c>
      <c r="O21" s="19" t="s">
        <v>257</v>
      </c>
      <c r="P21" s="19">
        <f t="shared" si="6"/>
        <v>2</v>
      </c>
      <c r="Q21" s="19" t="s">
        <v>259</v>
      </c>
      <c r="R21" s="19">
        <f t="shared" si="7"/>
        <v>1</v>
      </c>
      <c r="S21" s="19" t="s">
        <v>259</v>
      </c>
      <c r="T21" s="19">
        <f t="shared" si="8"/>
        <v>1</v>
      </c>
      <c r="U21" s="19" t="s">
        <v>259</v>
      </c>
      <c r="V21" s="19">
        <f t="shared" si="9"/>
        <v>1</v>
      </c>
    </row>
    <row r="22" spans="1:23" x14ac:dyDescent="0.25">
      <c r="A22" s="16">
        <v>11</v>
      </c>
      <c r="B22" s="17" t="s">
        <v>1332</v>
      </c>
      <c r="C22" s="18">
        <f t="shared" si="11"/>
        <v>1.8888888888888891</v>
      </c>
      <c r="D22" s="16" t="str">
        <f t="shared" si="12"/>
        <v>Medium</v>
      </c>
      <c r="E22" s="19" t="s">
        <v>256</v>
      </c>
      <c r="F22" s="19">
        <f t="shared" si="1"/>
        <v>3</v>
      </c>
      <c r="G22" s="19" t="s">
        <v>409</v>
      </c>
      <c r="H22" s="19">
        <f t="shared" si="2"/>
        <v>3</v>
      </c>
      <c r="I22" s="19" t="s">
        <v>258</v>
      </c>
      <c r="J22" s="19">
        <f t="shared" si="3"/>
        <v>3</v>
      </c>
      <c r="K22" s="19" t="s">
        <v>259</v>
      </c>
      <c r="L22" s="19">
        <f t="shared" si="4"/>
        <v>1</v>
      </c>
      <c r="M22" s="19" t="s">
        <v>258</v>
      </c>
      <c r="N22" s="19">
        <f t="shared" si="5"/>
        <v>3</v>
      </c>
      <c r="O22" s="19" t="s">
        <v>283</v>
      </c>
      <c r="P22" s="19">
        <f t="shared" si="6"/>
        <v>1</v>
      </c>
      <c r="Q22" s="19" t="s">
        <v>259</v>
      </c>
      <c r="R22" s="19">
        <f t="shared" si="7"/>
        <v>1</v>
      </c>
      <c r="S22" s="19" t="s">
        <v>259</v>
      </c>
      <c r="T22" s="19">
        <f t="shared" si="8"/>
        <v>1</v>
      </c>
      <c r="U22" s="19" t="s">
        <v>259</v>
      </c>
      <c r="V22" s="19">
        <f t="shared" si="9"/>
        <v>1</v>
      </c>
    </row>
    <row r="23" spans="1:23" s="264" customFormat="1" x14ac:dyDescent="0.25">
      <c r="A23" s="261">
        <v>12</v>
      </c>
      <c r="B23" s="262" t="s">
        <v>1434</v>
      </c>
      <c r="C23" s="263">
        <f t="shared" si="11"/>
        <v>1.2222222222222225</v>
      </c>
      <c r="D23" s="261" t="str">
        <f t="shared" si="12"/>
        <v>Medium</v>
      </c>
      <c r="E23" s="178" t="s">
        <v>256</v>
      </c>
      <c r="F23" s="178">
        <f>VLOOKUP(E23,$F$26:$G$29,2,FALSE)</f>
        <v>3</v>
      </c>
      <c r="G23" s="178" t="s">
        <v>283</v>
      </c>
      <c r="H23" s="178">
        <f>VLOOKUP(G23,$H$26:$I$29,2,FALSE)</f>
        <v>1</v>
      </c>
      <c r="I23" s="178" t="s">
        <v>259</v>
      </c>
      <c r="J23" s="178">
        <f>VLOOKUP(I23,$J$26:$K$28,2,FALSE)</f>
        <v>1</v>
      </c>
      <c r="K23" s="178" t="s">
        <v>259</v>
      </c>
      <c r="L23" s="178">
        <f>VLOOKUP(K23,$J$26:$K$28,2,FALSE)</f>
        <v>1</v>
      </c>
      <c r="M23" s="178" t="s">
        <v>259</v>
      </c>
      <c r="N23" s="178">
        <f>VLOOKUP(M23,$J$26:$K$28,2,FALSE)</f>
        <v>1</v>
      </c>
      <c r="O23" s="178" t="s">
        <v>283</v>
      </c>
      <c r="P23" s="178">
        <f>VLOOKUP(O23,$H$26:$I$29,2,FALSE)</f>
        <v>1</v>
      </c>
      <c r="Q23" s="178" t="s">
        <v>259</v>
      </c>
      <c r="R23" s="178">
        <f>VLOOKUP(Q23,$J$26:$K$28,2,FALSE)</f>
        <v>1</v>
      </c>
      <c r="S23" s="178" t="s">
        <v>259</v>
      </c>
      <c r="T23" s="178">
        <f>VLOOKUP(S23,$J$26:$K$28,2,FALSE)</f>
        <v>1</v>
      </c>
      <c r="U23" s="178" t="s">
        <v>259</v>
      </c>
      <c r="V23" s="178">
        <f>VLOOKUP(U23,$J$26:$K$28,2,FALSE)</f>
        <v>1</v>
      </c>
    </row>
    <row r="24" spans="1:23" x14ac:dyDescent="0.25">
      <c r="A24" s="16">
        <v>13</v>
      </c>
      <c r="B24" s="17" t="s">
        <v>1333</v>
      </c>
      <c r="C24" s="18">
        <f t="shared" ref="C24" si="13">($E$10*F24)+($G$10*H24)+($I$10*J24)+($K$10*L24)+($M$10*N24)+($O$10*P24)+($Q$10*R24)+($S$10*T24)+($U$10*V24)</f>
        <v>1.3333333333333337</v>
      </c>
      <c r="D24" s="16" t="str">
        <f t="shared" ref="D24" si="14">IF(AND(C24&gt;=$B$5,C24&lt;=$C$5),$A$5,IF(AND(C24&gt;=$B$4,C24&lt;=$C$4),$A$4,IF(AND(C24&gt;=$B$3,C24&lt;=$C$3),$A$3)))</f>
        <v>Medium</v>
      </c>
      <c r="E24" s="19" t="s">
        <v>411</v>
      </c>
      <c r="F24" s="19">
        <f t="shared" ref="F24" si="15">VLOOKUP(E24,$F$27:$G$30,2,FALSE)</f>
        <v>2</v>
      </c>
      <c r="G24" s="19" t="s">
        <v>409</v>
      </c>
      <c r="H24" s="19">
        <f t="shared" ref="H24" si="16">VLOOKUP(G24,$H$27:$I$30,2,FALSE)</f>
        <v>3</v>
      </c>
      <c r="I24" s="19" t="s">
        <v>259</v>
      </c>
      <c r="J24" s="19">
        <f t="shared" ref="J24" si="17">VLOOKUP(I24,$J$27:$K$29,2,FALSE)</f>
        <v>1</v>
      </c>
      <c r="K24" s="19" t="s">
        <v>259</v>
      </c>
      <c r="L24" s="19">
        <f t="shared" ref="L24" si="18">VLOOKUP(K24,$J$27:$K$29,2,FALSE)</f>
        <v>1</v>
      </c>
      <c r="M24" s="19" t="s">
        <v>259</v>
      </c>
      <c r="N24" s="19">
        <f t="shared" ref="N24" si="19">VLOOKUP(M24,$J$27:$K$29,2,FALSE)</f>
        <v>1</v>
      </c>
      <c r="O24" s="19" t="s">
        <v>283</v>
      </c>
      <c r="P24" s="19">
        <f t="shared" ref="P24" si="20">VLOOKUP(O24,$H$27:$I$30,2,FALSE)</f>
        <v>1</v>
      </c>
      <c r="Q24" s="19" t="s">
        <v>259</v>
      </c>
      <c r="R24" s="19">
        <f t="shared" ref="R24" si="21">VLOOKUP(Q24,$J$27:$K$29,2,FALSE)</f>
        <v>1</v>
      </c>
      <c r="S24" s="19" t="s">
        <v>259</v>
      </c>
      <c r="T24" s="19">
        <f t="shared" ref="T24" si="22">VLOOKUP(S24,$J$27:$K$29,2,FALSE)</f>
        <v>1</v>
      </c>
      <c r="U24" s="19" t="s">
        <v>259</v>
      </c>
      <c r="V24" s="19">
        <f t="shared" ref="V24" si="23">VLOOKUP(U24,$J$27:$K$29,2,FALSE)</f>
        <v>1</v>
      </c>
    </row>
    <row r="25" spans="1:23" x14ac:dyDescent="0.25">
      <c r="A25" s="16"/>
      <c r="B25" s="17"/>
      <c r="C25" s="18"/>
      <c r="D25" s="16"/>
      <c r="E25" s="19"/>
      <c r="F25" s="19"/>
      <c r="G25" s="19"/>
      <c r="H25" s="19"/>
      <c r="I25" s="19"/>
      <c r="J25" s="19"/>
      <c r="K25" s="19"/>
      <c r="L25" s="19"/>
      <c r="M25" s="19"/>
      <c r="N25" s="19"/>
      <c r="O25" s="19"/>
      <c r="P25" s="19"/>
      <c r="Q25" s="19"/>
      <c r="R25" s="19"/>
      <c r="S25" s="19"/>
      <c r="T25" s="19"/>
      <c r="U25" s="19"/>
      <c r="V25" s="19"/>
    </row>
    <row r="26" spans="1:23" x14ac:dyDescent="0.25">
      <c r="A26" s="16"/>
      <c r="B26" s="17"/>
      <c r="C26" s="18"/>
      <c r="D26" s="16"/>
      <c r="E26" s="19"/>
      <c r="F26" s="19"/>
      <c r="G26" s="19"/>
      <c r="H26" s="19"/>
      <c r="I26" s="19"/>
      <c r="J26" s="19"/>
      <c r="K26" s="19"/>
      <c r="L26" s="19"/>
      <c r="M26" s="19"/>
      <c r="N26" s="19"/>
      <c r="O26" s="19"/>
      <c r="P26" s="19"/>
      <c r="Q26" s="19"/>
      <c r="R26" s="19"/>
      <c r="S26" s="19"/>
      <c r="T26" s="19"/>
      <c r="U26" s="19"/>
      <c r="V26" s="19"/>
    </row>
    <row r="27" spans="1:23" hidden="1" x14ac:dyDescent="0.25">
      <c r="F27" s="14" t="s">
        <v>256</v>
      </c>
      <c r="G27" s="12">
        <v>3</v>
      </c>
      <c r="H27" s="14" t="s">
        <v>409</v>
      </c>
      <c r="I27" s="12">
        <v>3</v>
      </c>
      <c r="J27" s="14" t="s">
        <v>258</v>
      </c>
      <c r="K27" s="12">
        <v>3</v>
      </c>
      <c r="L27" s="14"/>
      <c r="M27" s="12"/>
      <c r="N27" s="14"/>
      <c r="O27" s="12"/>
      <c r="P27" s="14"/>
      <c r="Q27" s="12"/>
      <c r="R27" s="14"/>
      <c r="S27" s="12"/>
      <c r="T27" s="14"/>
      <c r="U27" s="12"/>
      <c r="V27" s="14"/>
      <c r="W27" s="12"/>
    </row>
    <row r="28" spans="1:23" hidden="1" x14ac:dyDescent="0.25">
      <c r="F28" s="14" t="s">
        <v>411</v>
      </c>
      <c r="G28" s="12">
        <v>2</v>
      </c>
      <c r="H28" s="14" t="s">
        <v>257</v>
      </c>
      <c r="I28" s="12">
        <v>2</v>
      </c>
      <c r="J28" s="14" t="s">
        <v>259</v>
      </c>
      <c r="K28" s="12">
        <v>1</v>
      </c>
      <c r="L28" s="14"/>
      <c r="M28" s="12"/>
      <c r="N28" s="14"/>
      <c r="O28" s="12"/>
      <c r="P28" s="14"/>
      <c r="Q28" s="12"/>
      <c r="R28" s="14"/>
      <c r="S28" s="12"/>
      <c r="T28" s="14"/>
      <c r="U28" s="12"/>
      <c r="V28" s="14"/>
      <c r="W28" s="12"/>
    </row>
    <row r="29" spans="1:23" hidden="1" x14ac:dyDescent="0.25">
      <c r="F29" s="14" t="s">
        <v>410</v>
      </c>
      <c r="G29" s="12">
        <v>1</v>
      </c>
      <c r="H29" s="14" t="s">
        <v>283</v>
      </c>
      <c r="I29" s="12">
        <v>1</v>
      </c>
      <c r="J29" s="14" t="s">
        <v>278</v>
      </c>
      <c r="K29" s="12">
        <v>0</v>
      </c>
      <c r="L29" s="14"/>
      <c r="M29" s="12"/>
      <c r="N29" s="14"/>
      <c r="O29" s="12"/>
      <c r="P29" s="14"/>
      <c r="Q29" s="12"/>
      <c r="R29" s="14"/>
      <c r="S29" s="12"/>
      <c r="T29" s="14"/>
      <c r="U29" s="12"/>
      <c r="V29" s="14"/>
      <c r="W29" s="12"/>
    </row>
    <row r="30" spans="1:23" hidden="1" x14ac:dyDescent="0.25">
      <c r="F30" s="14" t="s">
        <v>278</v>
      </c>
      <c r="G30" s="12">
        <v>0</v>
      </c>
      <c r="H30" s="14" t="s">
        <v>278</v>
      </c>
      <c r="I30" s="12">
        <v>0</v>
      </c>
      <c r="P30" s="14"/>
      <c r="Q30" s="12"/>
    </row>
  </sheetData>
  <mergeCells count="31">
    <mergeCell ref="U10:V10"/>
    <mergeCell ref="I10:J10"/>
    <mergeCell ref="K10:L10"/>
    <mergeCell ref="M10:N10"/>
    <mergeCell ref="O10:P10"/>
    <mergeCell ref="Q10:R10"/>
    <mergeCell ref="S10:T10"/>
    <mergeCell ref="U8:V8"/>
    <mergeCell ref="E9:F9"/>
    <mergeCell ref="G9:H9"/>
    <mergeCell ref="I9:J9"/>
    <mergeCell ref="K9:L9"/>
    <mergeCell ref="M9:N9"/>
    <mergeCell ref="O9:P9"/>
    <mergeCell ref="Q9:R9"/>
    <mergeCell ref="S9:T9"/>
    <mergeCell ref="U9:V9"/>
    <mergeCell ref="I8:J8"/>
    <mergeCell ref="K8:L8"/>
    <mergeCell ref="M8:N8"/>
    <mergeCell ref="O8:P8"/>
    <mergeCell ref="Q8:R8"/>
    <mergeCell ref="S8:T8"/>
    <mergeCell ref="G8:H8"/>
    <mergeCell ref="E10:F10"/>
    <mergeCell ref="G10:H10"/>
    <mergeCell ref="A8:A11"/>
    <mergeCell ref="B8:B11"/>
    <mergeCell ref="C8:C11"/>
    <mergeCell ref="D8:D11"/>
    <mergeCell ref="E8:F8"/>
  </mergeCells>
  <dataValidations count="8">
    <dataValidation type="list" allowBlank="1" showInputMessage="1" showErrorMessage="1" sqref="K24:K26 M24:M26 Q24:Q26 S24:S26 U24:U26 U12:U22 S12:S22 Q12:Q22 M12:M22 K12:K22 I12:I22 I24:I26" xr:uid="{70BD9F16-F23E-47B0-8E2B-269F0CC37F91}">
      <formula1>$J$27:$J$29</formula1>
    </dataValidation>
    <dataValidation type="list" allowBlank="1" showInputMessage="1" showErrorMessage="1" sqref="O24:O26 G12:G14 O12:O14 O18:O22 G18:G22 G24:G26" xr:uid="{A23AAEB8-FE01-48E0-96C8-41F16DD878E5}">
      <formula1>$H$27:$H$30</formula1>
    </dataValidation>
    <dataValidation type="list" allowBlank="1" showInputMessage="1" showErrorMessage="1" sqref="E12:E14 E18:E22 E24:E26" xr:uid="{AD71DE1B-BB31-4820-9B9C-71426CECC47C}">
      <formula1>$F$27:$F$30</formula1>
    </dataValidation>
    <dataValidation type="list" allowBlank="1" showInputMessage="1" showErrorMessage="1" sqref="E15:E17" xr:uid="{392BFDFC-4F6F-4006-97F7-8FAE77EDF532}">
      <formula1>$F$22:$F$26</formula1>
    </dataValidation>
    <dataValidation type="list" allowBlank="1" showInputMessage="1" showErrorMessage="1" sqref="G15:G17 O15:O17" xr:uid="{8C9E9448-9AFD-4C20-A681-01A6CB3CC1F5}">
      <formula1>$H$22:$H$26</formula1>
    </dataValidation>
    <dataValidation type="list" allowBlank="1" showInputMessage="1" showErrorMessage="1" sqref="E23" xr:uid="{8503C8BA-518F-4F50-B7EE-3A22471DFC2C}">
      <formula1>$F$26:$F$29</formula1>
    </dataValidation>
    <dataValidation type="list" allowBlank="1" showInputMessage="1" showErrorMessage="1" sqref="O23 G23" xr:uid="{990FA2E6-0794-4A4E-9858-782D330C2E40}">
      <formula1>$H$26:$H$29</formula1>
    </dataValidation>
    <dataValidation type="list" allowBlank="1" showInputMessage="1" showErrorMessage="1" sqref="U23 S23 Q23 M23 K23 I23" xr:uid="{725C1193-F39E-40D4-B664-6B4B334A24DA}">
      <formula1>$J$26:$J$28</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D26475-B477-48CB-A24D-264124ECEC62}">
  <dimension ref="A1:R23"/>
  <sheetViews>
    <sheetView showGridLines="0" workbookViewId="0">
      <selection activeCell="B15" sqref="B15"/>
    </sheetView>
  </sheetViews>
  <sheetFormatPr defaultColWidth="9.140625" defaultRowHeight="13.5" x14ac:dyDescent="0.25"/>
  <cols>
    <col min="1" max="1" width="12.28515625" style="10" bestFit="1" customWidth="1"/>
    <col min="2" max="2" width="31.42578125" style="10" bestFit="1" customWidth="1"/>
    <col min="3" max="4" width="8.28515625" style="10" bestFit="1" customWidth="1"/>
    <col min="5" max="5" width="11.7109375" style="10" bestFit="1" customWidth="1"/>
    <col min="6" max="6" width="14.140625" style="10" bestFit="1" customWidth="1"/>
    <col min="7" max="7" width="7.28515625" style="10" bestFit="1" customWidth="1"/>
    <col min="8" max="8" width="14.140625" style="10" bestFit="1" customWidth="1"/>
    <col min="9" max="9" width="7.28515625" style="10" bestFit="1" customWidth="1"/>
    <col min="10" max="10" width="6.42578125" style="10" bestFit="1" customWidth="1"/>
    <col min="11" max="11" width="11.7109375" style="10" bestFit="1" customWidth="1"/>
    <col min="12" max="12" width="6.42578125" style="10" bestFit="1" customWidth="1"/>
    <col min="13" max="13" width="7.28515625" style="10" bestFit="1" customWidth="1"/>
    <col min="14" max="14" width="6.42578125" style="10" bestFit="1" customWidth="1"/>
    <col min="15" max="15" width="7.28515625" style="10" bestFit="1" customWidth="1"/>
    <col min="16" max="16" width="6.42578125" style="10" bestFit="1" customWidth="1"/>
    <col min="17" max="17" width="7.28515625" style="10" bestFit="1" customWidth="1"/>
    <col min="18" max="18" width="6.42578125" style="10" bestFit="1" customWidth="1"/>
    <col min="19" max="16384" width="9.140625" style="10"/>
  </cols>
  <sheetData>
    <row r="1" spans="1:18" x14ac:dyDescent="0.25">
      <c r="A1" s="20" t="s">
        <v>119</v>
      </c>
      <c r="B1" s="20"/>
      <c r="C1" s="20"/>
      <c r="D1" s="25"/>
    </row>
    <row r="2" spans="1:18" x14ac:dyDescent="0.25">
      <c r="A2" s="21" t="s">
        <v>120</v>
      </c>
      <c r="B2" s="21" t="s">
        <v>273</v>
      </c>
      <c r="C2" s="21" t="s">
        <v>274</v>
      </c>
      <c r="D2" s="26"/>
    </row>
    <row r="3" spans="1:18" x14ac:dyDescent="0.25">
      <c r="A3" s="22" t="s">
        <v>3</v>
      </c>
      <c r="B3" s="23">
        <v>2.0099999999999998</v>
      </c>
      <c r="C3" s="24">
        <v>3</v>
      </c>
      <c r="D3" s="27"/>
    </row>
    <row r="4" spans="1:18" x14ac:dyDescent="0.25">
      <c r="A4" s="22" t="s">
        <v>1</v>
      </c>
      <c r="B4" s="23">
        <v>1.01</v>
      </c>
      <c r="C4" s="24">
        <v>2</v>
      </c>
      <c r="D4" s="27"/>
    </row>
    <row r="5" spans="1:18" x14ac:dyDescent="0.25">
      <c r="A5" s="22" t="s">
        <v>2</v>
      </c>
      <c r="B5" s="23">
        <v>0</v>
      </c>
      <c r="C5" s="24">
        <v>1</v>
      </c>
      <c r="D5" s="27"/>
    </row>
    <row r="6" spans="1:18" x14ac:dyDescent="0.25">
      <c r="A6" s="28"/>
      <c r="B6" s="27"/>
      <c r="C6" s="29"/>
      <c r="D6" s="27"/>
    </row>
    <row r="7" spans="1:18" x14ac:dyDescent="0.25">
      <c r="E7" s="11"/>
      <c r="G7" s="11"/>
    </row>
    <row r="8" spans="1:18" ht="90" customHeight="1" x14ac:dyDescent="0.25">
      <c r="A8" s="362" t="s">
        <v>1241</v>
      </c>
      <c r="B8" s="362" t="s">
        <v>1260</v>
      </c>
      <c r="C8" s="363" t="s">
        <v>1243</v>
      </c>
      <c r="D8" s="363" t="s">
        <v>1244</v>
      </c>
      <c r="E8" s="360" t="s">
        <v>1261</v>
      </c>
      <c r="F8" s="360"/>
      <c r="G8" s="360" t="s">
        <v>1262</v>
      </c>
      <c r="H8" s="360"/>
      <c r="I8" s="360" t="s">
        <v>1263</v>
      </c>
      <c r="J8" s="360"/>
      <c r="K8" s="360" t="s">
        <v>1264</v>
      </c>
      <c r="L8" s="360"/>
      <c r="M8" s="360" t="s">
        <v>1265</v>
      </c>
      <c r="N8" s="360"/>
      <c r="O8" s="360" t="s">
        <v>1266</v>
      </c>
      <c r="P8" s="360"/>
      <c r="Q8" s="360" t="s">
        <v>1267</v>
      </c>
      <c r="R8" s="360"/>
    </row>
    <row r="9" spans="1:18" ht="39" customHeight="1" x14ac:dyDescent="0.25">
      <c r="A9" s="362"/>
      <c r="B9" s="362"/>
      <c r="C9" s="363"/>
      <c r="D9" s="363"/>
      <c r="E9" s="364" t="s">
        <v>282</v>
      </c>
      <c r="F9" s="364"/>
      <c r="G9" s="364" t="s">
        <v>249</v>
      </c>
      <c r="H9" s="364"/>
      <c r="I9" s="364" t="s">
        <v>250</v>
      </c>
      <c r="J9" s="364"/>
      <c r="K9" s="364" t="s">
        <v>1250</v>
      </c>
      <c r="L9" s="364"/>
      <c r="M9" s="364" t="s">
        <v>253</v>
      </c>
      <c r="N9" s="364"/>
      <c r="O9" s="364" t="s">
        <v>1251</v>
      </c>
      <c r="P9" s="364"/>
      <c r="Q9" s="364" t="s">
        <v>1268</v>
      </c>
      <c r="R9" s="364"/>
    </row>
    <row r="10" spans="1:18" x14ac:dyDescent="0.25">
      <c r="A10" s="362"/>
      <c r="B10" s="362"/>
      <c r="C10" s="363"/>
      <c r="D10" s="363"/>
      <c r="E10" s="361">
        <f>100/700</f>
        <v>0.14285714285714285</v>
      </c>
      <c r="F10" s="361"/>
      <c r="G10" s="361">
        <f>100/700</f>
        <v>0.14285714285714285</v>
      </c>
      <c r="H10" s="361"/>
      <c r="I10" s="361">
        <f>100/700</f>
        <v>0.14285714285714285</v>
      </c>
      <c r="J10" s="361"/>
      <c r="K10" s="361">
        <f>100/700</f>
        <v>0.14285714285714285</v>
      </c>
      <c r="L10" s="361"/>
      <c r="M10" s="361">
        <f>100/700</f>
        <v>0.14285714285714285</v>
      </c>
      <c r="N10" s="361"/>
      <c r="O10" s="361">
        <f>100/700</f>
        <v>0.14285714285714285</v>
      </c>
      <c r="P10" s="361"/>
      <c r="Q10" s="365">
        <f>100/700</f>
        <v>0.14285714285714285</v>
      </c>
      <c r="R10" s="366"/>
    </row>
    <row r="11" spans="1:18" x14ac:dyDescent="0.25">
      <c r="A11" s="362"/>
      <c r="B11" s="362"/>
      <c r="C11" s="363"/>
      <c r="D11" s="363"/>
      <c r="E11" s="15" t="s">
        <v>254</v>
      </c>
      <c r="F11" s="15" t="s">
        <v>255</v>
      </c>
      <c r="G11" s="15" t="s">
        <v>254</v>
      </c>
      <c r="H11" s="15" t="s">
        <v>255</v>
      </c>
      <c r="I11" s="15" t="s">
        <v>254</v>
      </c>
      <c r="J11" s="15" t="s">
        <v>255</v>
      </c>
      <c r="K11" s="15" t="s">
        <v>254</v>
      </c>
      <c r="L11" s="15" t="s">
        <v>255</v>
      </c>
      <c r="M11" s="15" t="s">
        <v>254</v>
      </c>
      <c r="N11" s="15" t="s">
        <v>255</v>
      </c>
      <c r="O11" s="15" t="s">
        <v>254</v>
      </c>
      <c r="P11" s="15" t="s">
        <v>255</v>
      </c>
      <c r="Q11" s="15" t="s">
        <v>254</v>
      </c>
      <c r="R11" s="15" t="s">
        <v>255</v>
      </c>
    </row>
    <row r="12" spans="1:18" x14ac:dyDescent="0.25">
      <c r="A12" s="16">
        <v>1</v>
      </c>
      <c r="B12" s="123" t="s">
        <v>1334</v>
      </c>
      <c r="C12" s="18">
        <f>$E$10*F12+$G$10*H12+$I$10*J12+$K$10*L12+$M$10*N12+$O$10*P12+$Q$10*R12</f>
        <v>1.4285714285714284</v>
      </c>
      <c r="D12" s="16" t="str">
        <f t="shared" ref="D12" si="0">IF(AND(C12&gt;=$B$5,C12&lt;=$C$5),$A$5,IF(AND(C12&gt;=$B$4,C12&lt;=$C$4),$A$4,IF(AND(C12&gt;=$B$3,C12&lt;=$C$3),$A$3)))</f>
        <v>Medium</v>
      </c>
      <c r="E12" s="19" t="s">
        <v>257</v>
      </c>
      <c r="F12" s="19">
        <f>VLOOKUP(E12,$F$19:$G$22,2,FALSE)</f>
        <v>2</v>
      </c>
      <c r="G12" s="19" t="s">
        <v>259</v>
      </c>
      <c r="H12" s="19">
        <f>VLOOKUP(G12,$H$19:$I$21,2,FALSE)</f>
        <v>1</v>
      </c>
      <c r="I12" s="19" t="s">
        <v>259</v>
      </c>
      <c r="J12" s="19">
        <f>VLOOKUP(I12,$H$19:$I$21,2,FALSE)</f>
        <v>1</v>
      </c>
      <c r="K12" s="19" t="s">
        <v>283</v>
      </c>
      <c r="L12" s="19">
        <f>VLOOKUP(K12,$F$19:$G$22,2,FALSE)</f>
        <v>1</v>
      </c>
      <c r="M12" s="19" t="s">
        <v>259</v>
      </c>
      <c r="N12" s="19">
        <f>VLOOKUP(M12,$H$19:$I$21,2,FALSE)</f>
        <v>1</v>
      </c>
      <c r="O12" s="19" t="s">
        <v>259</v>
      </c>
      <c r="P12" s="19">
        <f>VLOOKUP(O12,$H$19:$I$21,2,FALSE)</f>
        <v>1</v>
      </c>
      <c r="Q12" s="19" t="s">
        <v>258</v>
      </c>
      <c r="R12" s="19">
        <f>VLOOKUP(Q12,$H$19:$I$21,2,FALSE)</f>
        <v>3</v>
      </c>
    </row>
    <row r="13" spans="1:18" x14ac:dyDescent="0.25">
      <c r="A13" s="16">
        <v>2</v>
      </c>
      <c r="B13" s="123" t="s">
        <v>1335</v>
      </c>
      <c r="C13" s="18">
        <f t="shared" ref="C13:C18" si="1">$E$10*F13+$G$10*H13+$I$10*J13+$K$10*L13+$M$10*N13+$O$10*P13+$Q$10*R13</f>
        <v>1.4285714285714284</v>
      </c>
      <c r="D13" s="16" t="str">
        <f t="shared" ref="D13:D18" si="2">IF(AND(C13&gt;=$B$5,C13&lt;=$C$5),$A$5,IF(AND(C13&gt;=$B$4,C13&lt;=$C$4),$A$4,IF(AND(C13&gt;=$B$3,C13&lt;=$C$3),$A$3)))</f>
        <v>Medium</v>
      </c>
      <c r="E13" s="19" t="s">
        <v>257</v>
      </c>
      <c r="F13" s="19">
        <f>VLOOKUP(E13,$F$19:$G$22,2,FALSE)</f>
        <v>2</v>
      </c>
      <c r="G13" s="19" t="s">
        <v>259</v>
      </c>
      <c r="H13" s="19">
        <f>VLOOKUP(G13,$H$19:$I$21,2,FALSE)</f>
        <v>1</v>
      </c>
      <c r="I13" s="19" t="s">
        <v>259</v>
      </c>
      <c r="J13" s="19">
        <f>VLOOKUP(I13,$H$19:$I$21,2,FALSE)</f>
        <v>1</v>
      </c>
      <c r="K13" s="19" t="s">
        <v>283</v>
      </c>
      <c r="L13" s="19">
        <f>VLOOKUP(K13,$F$19:$G$22,2,FALSE)</f>
        <v>1</v>
      </c>
      <c r="M13" s="19" t="s">
        <v>259</v>
      </c>
      <c r="N13" s="19">
        <f>VLOOKUP(M13,$H$19:$I$21,2,FALSE)</f>
        <v>1</v>
      </c>
      <c r="O13" s="19" t="s">
        <v>259</v>
      </c>
      <c r="P13" s="19">
        <f>VLOOKUP(O13,$H$19:$I$21,2,FALSE)</f>
        <v>1</v>
      </c>
      <c r="Q13" s="19" t="s">
        <v>258</v>
      </c>
      <c r="R13" s="19">
        <f>VLOOKUP(Q13,$H$19:$I$21,2,FALSE)</f>
        <v>3</v>
      </c>
    </row>
    <row r="14" spans="1:18" x14ac:dyDescent="0.25">
      <c r="A14" s="16">
        <v>3</v>
      </c>
      <c r="B14" s="123" t="s">
        <v>1336</v>
      </c>
      <c r="C14" s="18">
        <f t="shared" si="1"/>
        <v>1.4285714285714284</v>
      </c>
      <c r="D14" s="16" t="str">
        <f t="shared" si="2"/>
        <v>Medium</v>
      </c>
      <c r="E14" s="19" t="s">
        <v>257</v>
      </c>
      <c r="F14" s="19">
        <f>VLOOKUP(E14,$F$19:$G$22,2,FALSE)</f>
        <v>2</v>
      </c>
      <c r="G14" s="19" t="s">
        <v>259</v>
      </c>
      <c r="H14" s="19">
        <f>VLOOKUP(G14,$H$19:$I$21,2,FALSE)</f>
        <v>1</v>
      </c>
      <c r="I14" s="19" t="s">
        <v>259</v>
      </c>
      <c r="J14" s="19">
        <f>VLOOKUP(I14,$H$19:$I$21,2,FALSE)</f>
        <v>1</v>
      </c>
      <c r="K14" s="19" t="s">
        <v>283</v>
      </c>
      <c r="L14" s="19">
        <f>VLOOKUP(K14,$F$19:$G$22,2,FALSE)</f>
        <v>1</v>
      </c>
      <c r="M14" s="19" t="s">
        <v>259</v>
      </c>
      <c r="N14" s="19">
        <f>VLOOKUP(M14,$H$19:$I$21,2,FALSE)</f>
        <v>1</v>
      </c>
      <c r="O14" s="19" t="s">
        <v>259</v>
      </c>
      <c r="P14" s="19">
        <f>VLOOKUP(O14,$H$19:$I$21,2,FALSE)</f>
        <v>1</v>
      </c>
      <c r="Q14" s="19" t="s">
        <v>258</v>
      </c>
      <c r="R14" s="19">
        <f>VLOOKUP(Q14,$H$19:$I$21,2,FALSE)</f>
        <v>3</v>
      </c>
    </row>
    <row r="15" spans="1:18" x14ac:dyDescent="0.25">
      <c r="A15" s="16">
        <v>4</v>
      </c>
      <c r="B15" s="123" t="s">
        <v>1427</v>
      </c>
      <c r="C15" s="18">
        <f t="shared" si="1"/>
        <v>1.1428571428571426</v>
      </c>
      <c r="D15" s="16" t="str">
        <f t="shared" si="2"/>
        <v>Medium</v>
      </c>
      <c r="E15" s="19" t="s">
        <v>283</v>
      </c>
      <c r="F15" s="19">
        <f>VLOOKUP(E15,$F$19:$G$22,2,FALSE)</f>
        <v>1</v>
      </c>
      <c r="G15" s="19" t="s">
        <v>259</v>
      </c>
      <c r="H15" s="19">
        <f>VLOOKUP(G15,$H$19:$I$21,2,FALSE)</f>
        <v>1</v>
      </c>
      <c r="I15" s="19" t="s">
        <v>259</v>
      </c>
      <c r="J15" s="19">
        <f>VLOOKUP(I15,$H$19:$I$21,2,FALSE)</f>
        <v>1</v>
      </c>
      <c r="K15" s="19" t="s">
        <v>257</v>
      </c>
      <c r="L15" s="19">
        <f>VLOOKUP(K15,$F$19:$G$22,2,FALSE)</f>
        <v>2</v>
      </c>
      <c r="M15" s="19" t="s">
        <v>259</v>
      </c>
      <c r="N15" s="19">
        <f>VLOOKUP(M15,$H$19:$I$21,2,FALSE)</f>
        <v>1</v>
      </c>
      <c r="O15" s="19" t="s">
        <v>259</v>
      </c>
      <c r="P15" s="19">
        <f>VLOOKUP(O15,$H$19:$I$21,2,FALSE)</f>
        <v>1</v>
      </c>
      <c r="Q15" s="19" t="s">
        <v>259</v>
      </c>
      <c r="R15" s="19">
        <f>VLOOKUP(Q15,$H$19:$I$21,2,FALSE)</f>
        <v>1</v>
      </c>
    </row>
    <row r="16" spans="1:18" x14ac:dyDescent="0.25">
      <c r="A16" s="16">
        <v>5</v>
      </c>
      <c r="B16" s="123" t="s">
        <v>1426</v>
      </c>
      <c r="C16" s="18">
        <f t="shared" si="1"/>
        <v>2.1428571428571423</v>
      </c>
      <c r="D16" s="16" t="str">
        <f t="shared" si="2"/>
        <v>High</v>
      </c>
      <c r="E16" s="19" t="s">
        <v>257</v>
      </c>
      <c r="F16" s="19">
        <f>VLOOKUP(E16,$F$19:$G$22,2,FALSE)</f>
        <v>2</v>
      </c>
      <c r="G16" s="19" t="s">
        <v>258</v>
      </c>
      <c r="H16" s="19">
        <f>VLOOKUP(G16,$H$19:$I$21,2,FALSE)</f>
        <v>3</v>
      </c>
      <c r="I16" s="19" t="s">
        <v>258</v>
      </c>
      <c r="J16" s="19">
        <f>VLOOKUP(I16,$H$19:$I$21,2,FALSE)</f>
        <v>3</v>
      </c>
      <c r="K16" s="19" t="s">
        <v>257</v>
      </c>
      <c r="L16" s="19">
        <f>VLOOKUP(K16,$F$19:$G$22,2,FALSE)</f>
        <v>2</v>
      </c>
      <c r="M16" s="19" t="s">
        <v>259</v>
      </c>
      <c r="N16" s="19">
        <f>VLOOKUP(M16,$H$19:$I$21,2,FALSE)</f>
        <v>1</v>
      </c>
      <c r="O16" s="19" t="s">
        <v>259</v>
      </c>
      <c r="P16" s="19">
        <f>VLOOKUP(O16,$H$19:$I$21,2,FALSE)</f>
        <v>1</v>
      </c>
      <c r="Q16" s="19" t="s">
        <v>258</v>
      </c>
      <c r="R16" s="19">
        <f>VLOOKUP(Q16,$H$19:$I$21,2,FALSE)</f>
        <v>3</v>
      </c>
    </row>
    <row r="17" spans="1:18" x14ac:dyDescent="0.25">
      <c r="A17" s="16">
        <v>6</v>
      </c>
      <c r="B17" s="123" t="s">
        <v>1404</v>
      </c>
      <c r="C17" s="18">
        <f t="shared" ref="C17" si="3">$E$10*F17+$G$10*H17+$I$10*J17+$K$10*L17+$M$10*N17+$O$10*P17+$Q$10*R17</f>
        <v>2.1428571428571428</v>
      </c>
      <c r="D17" s="16" t="str">
        <f t="shared" ref="D17" si="4">IF(AND(C17&gt;=$B$5,C17&lt;=$C$5),$A$5,IF(AND(C17&gt;=$B$4,C17&lt;=$C$4),$A$4,IF(AND(C17&gt;=$B$3,C17&lt;=$C$3),$A$3)))</f>
        <v>High</v>
      </c>
      <c r="E17" s="19" t="s">
        <v>283</v>
      </c>
      <c r="F17" s="19">
        <f t="shared" ref="F17" si="5">VLOOKUP(E17,$F$19:$G$22,2,FALSE)</f>
        <v>1</v>
      </c>
      <c r="G17" s="19" t="s">
        <v>258</v>
      </c>
      <c r="H17" s="19">
        <f t="shared" ref="H17" si="6">VLOOKUP(G17,$H$19:$I$21,2,FALSE)</f>
        <v>3</v>
      </c>
      <c r="I17" s="19" t="s">
        <v>258</v>
      </c>
      <c r="J17" s="19">
        <f t="shared" ref="J17" si="7">VLOOKUP(I17,$H$19:$I$21,2,FALSE)</f>
        <v>3</v>
      </c>
      <c r="K17" s="19" t="s">
        <v>409</v>
      </c>
      <c r="L17" s="19">
        <f t="shared" ref="L17" si="8">VLOOKUP(K17,$F$19:$G$22,2,FALSE)</f>
        <v>3</v>
      </c>
      <c r="M17" s="19" t="s">
        <v>259</v>
      </c>
      <c r="N17" s="19">
        <f t="shared" ref="N17" si="9">VLOOKUP(M17,$H$19:$I$21,2,FALSE)</f>
        <v>1</v>
      </c>
      <c r="O17" s="19" t="s">
        <v>259</v>
      </c>
      <c r="P17" s="19">
        <f t="shared" ref="P17" si="10">VLOOKUP(O17,$H$19:$I$21,2,FALSE)</f>
        <v>1</v>
      </c>
      <c r="Q17" s="19" t="s">
        <v>258</v>
      </c>
      <c r="R17" s="19">
        <f t="shared" ref="R17" si="11">VLOOKUP(Q17,$H$19:$I$21,2,FALSE)</f>
        <v>3</v>
      </c>
    </row>
    <row r="18" spans="1:18" x14ac:dyDescent="0.25">
      <c r="A18" s="16">
        <v>7</v>
      </c>
      <c r="B18" s="123" t="s">
        <v>1339</v>
      </c>
      <c r="C18" s="18">
        <f t="shared" si="1"/>
        <v>1.4285714285714284</v>
      </c>
      <c r="D18" s="16" t="str">
        <f t="shared" si="2"/>
        <v>Medium</v>
      </c>
      <c r="E18" s="19" t="s">
        <v>409</v>
      </c>
      <c r="F18" s="19">
        <f>VLOOKUP(E18,$F$19:$G$22,2,FALSE)</f>
        <v>3</v>
      </c>
      <c r="G18" s="19" t="s">
        <v>259</v>
      </c>
      <c r="H18" s="19">
        <f>VLOOKUP(G18,$H$19:$I$21,2,FALSE)</f>
        <v>1</v>
      </c>
      <c r="I18" s="19" t="s">
        <v>259</v>
      </c>
      <c r="J18" s="19">
        <f>VLOOKUP(I18,$H$19:$I$21,2,FALSE)</f>
        <v>1</v>
      </c>
      <c r="K18" s="19" t="s">
        <v>257</v>
      </c>
      <c r="L18" s="19">
        <f>VLOOKUP(K18,$F$19:$G$22,2,FALSE)</f>
        <v>2</v>
      </c>
      <c r="M18" s="19" t="s">
        <v>259</v>
      </c>
      <c r="N18" s="19">
        <f>VLOOKUP(M18,$H$19:$I$21,2,FALSE)</f>
        <v>1</v>
      </c>
      <c r="O18" s="19" t="s">
        <v>259</v>
      </c>
      <c r="P18" s="19">
        <f>VLOOKUP(O18,$H$19:$I$21,2,FALSE)</f>
        <v>1</v>
      </c>
      <c r="Q18" s="19" t="s">
        <v>259</v>
      </c>
      <c r="R18" s="19">
        <f>VLOOKUP(Q18,$H$19:$I$21,2,FALSE)</f>
        <v>1</v>
      </c>
    </row>
    <row r="19" spans="1:18" hidden="1" x14ac:dyDescent="0.25">
      <c r="B19" s="123"/>
      <c r="E19" s="12">
        <v>3</v>
      </c>
      <c r="F19" s="14" t="s">
        <v>409</v>
      </c>
      <c r="G19" s="12">
        <v>3</v>
      </c>
      <c r="H19" s="14" t="s">
        <v>258</v>
      </c>
      <c r="I19" s="12">
        <v>3</v>
      </c>
      <c r="J19" s="14"/>
      <c r="K19" s="12"/>
      <c r="L19" s="14"/>
      <c r="M19" s="12"/>
      <c r="N19" s="14"/>
      <c r="O19" s="12"/>
      <c r="P19" s="14"/>
      <c r="Q19" s="12"/>
    </row>
    <row r="20" spans="1:18" hidden="1" x14ac:dyDescent="0.25">
      <c r="B20" s="123"/>
      <c r="E20" s="12">
        <v>2</v>
      </c>
      <c r="F20" s="14" t="s">
        <v>257</v>
      </c>
      <c r="G20" s="12">
        <v>2</v>
      </c>
      <c r="H20" s="14" t="s">
        <v>259</v>
      </c>
      <c r="I20" s="12">
        <v>1</v>
      </c>
      <c r="J20" s="14"/>
      <c r="K20" s="12"/>
      <c r="L20" s="14"/>
      <c r="M20" s="12"/>
      <c r="N20" s="14"/>
      <c r="O20" s="12"/>
      <c r="P20" s="14"/>
      <c r="Q20" s="12"/>
    </row>
    <row r="21" spans="1:18" hidden="1" x14ac:dyDescent="0.25">
      <c r="B21" s="123"/>
      <c r="E21" s="12">
        <v>1</v>
      </c>
      <c r="F21" s="14" t="s">
        <v>283</v>
      </c>
      <c r="G21" s="12">
        <v>1</v>
      </c>
      <c r="H21" s="14" t="s">
        <v>278</v>
      </c>
      <c r="I21" s="12">
        <v>0</v>
      </c>
      <c r="J21" s="14"/>
      <c r="K21" s="12"/>
      <c r="L21" s="14"/>
      <c r="M21" s="12"/>
      <c r="N21" s="14"/>
      <c r="O21" s="12"/>
      <c r="P21" s="14"/>
      <c r="Q21" s="12"/>
    </row>
    <row r="22" spans="1:18" hidden="1" x14ac:dyDescent="0.25">
      <c r="B22" s="123"/>
      <c r="E22" s="12">
        <v>0</v>
      </c>
      <c r="F22" s="14" t="s">
        <v>278</v>
      </c>
      <c r="G22" s="12">
        <v>0</v>
      </c>
      <c r="L22" s="14"/>
    </row>
    <row r="23" spans="1:18" hidden="1" x14ac:dyDescent="0.25"/>
  </sheetData>
  <mergeCells count="25">
    <mergeCell ref="O9:P9"/>
    <mergeCell ref="Q9:R9"/>
    <mergeCell ref="E10:F10"/>
    <mergeCell ref="G10:H10"/>
    <mergeCell ref="I10:J10"/>
    <mergeCell ref="K10:L10"/>
    <mergeCell ref="M10:N10"/>
    <mergeCell ref="O10:P10"/>
    <mergeCell ref="Q10:R10"/>
    <mergeCell ref="E9:F9"/>
    <mergeCell ref="G9:H9"/>
    <mergeCell ref="I9:J9"/>
    <mergeCell ref="K9:L9"/>
    <mergeCell ref="M9:N9"/>
    <mergeCell ref="I8:J8"/>
    <mergeCell ref="K8:L8"/>
    <mergeCell ref="M8:N8"/>
    <mergeCell ref="O8:P8"/>
    <mergeCell ref="Q8:R8"/>
    <mergeCell ref="G8:H8"/>
    <mergeCell ref="A8:A11"/>
    <mergeCell ref="B8:B11"/>
    <mergeCell ref="C8:C11"/>
    <mergeCell ref="D8:D11"/>
    <mergeCell ref="E8:F8"/>
  </mergeCells>
  <dataValidations count="2">
    <dataValidation type="list" allowBlank="1" showInputMessage="1" showErrorMessage="1" sqref="E12:E18 K12:K18" xr:uid="{FB77C938-4024-4325-B726-CF6C16AC03EC}">
      <formula1>$F$19:$F$22</formula1>
    </dataValidation>
    <dataValidation type="list" allowBlank="1" showInputMessage="1" showErrorMessage="1" sqref="O12:O18 M12:M18 I12:I18 G12:G18 Q12:Q18" xr:uid="{AACB1FE6-FEDA-4962-A696-BBA1F463A1A6}">
      <formula1>$H$19:$H$21</formula1>
    </dataValidation>
  </dataValidation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DEB2CC-3C7A-4C27-97F4-4C962F57EE01}">
  <dimension ref="A1:N25"/>
  <sheetViews>
    <sheetView showGridLines="0" workbookViewId="0">
      <selection activeCell="B18" sqref="B18"/>
    </sheetView>
  </sheetViews>
  <sheetFormatPr defaultColWidth="9.140625" defaultRowHeight="13.5" x14ac:dyDescent="0.25"/>
  <cols>
    <col min="1" max="1" width="8.42578125" style="10" customWidth="1"/>
    <col min="2" max="2" width="37.28515625" style="10" bestFit="1" customWidth="1"/>
    <col min="3" max="4" width="9.140625" style="10"/>
    <col min="5" max="5" width="12.140625" style="10" bestFit="1" customWidth="1"/>
    <col min="6" max="6" width="9.140625" style="10"/>
    <col min="7" max="7" width="12.140625" style="10" bestFit="1" customWidth="1"/>
    <col min="8" max="16384" width="9.140625" style="10"/>
  </cols>
  <sheetData>
    <row r="1" spans="1:14" x14ac:dyDescent="0.25">
      <c r="E1" s="11"/>
      <c r="G1" s="11"/>
    </row>
    <row r="2" spans="1:14" ht="42" customHeight="1" x14ac:dyDescent="0.25">
      <c r="A2" s="367" t="s">
        <v>1241</v>
      </c>
      <c r="B2" s="367" t="s">
        <v>1269</v>
      </c>
      <c r="C2" s="370" t="s">
        <v>1270</v>
      </c>
      <c r="D2" s="370" t="s">
        <v>1271</v>
      </c>
      <c r="E2" s="360" t="s">
        <v>282</v>
      </c>
      <c r="F2" s="360"/>
      <c r="G2" s="373" t="s">
        <v>1272</v>
      </c>
      <c r="H2" s="374"/>
      <c r="I2" s="373" t="s">
        <v>253</v>
      </c>
      <c r="J2" s="374"/>
      <c r="K2" s="360" t="s">
        <v>1273</v>
      </c>
      <c r="L2" s="360"/>
      <c r="M2" s="360" t="s">
        <v>1274</v>
      </c>
      <c r="N2" s="360"/>
    </row>
    <row r="3" spans="1:14" ht="24" customHeight="1" x14ac:dyDescent="0.25">
      <c r="A3" s="368"/>
      <c r="B3" s="368"/>
      <c r="C3" s="371"/>
      <c r="D3" s="371"/>
      <c r="E3" s="361">
        <f>100/500</f>
        <v>0.2</v>
      </c>
      <c r="F3" s="361"/>
      <c r="G3" s="361">
        <f>100/500</f>
        <v>0.2</v>
      </c>
      <c r="H3" s="361"/>
      <c r="I3" s="361">
        <f>100/500</f>
        <v>0.2</v>
      </c>
      <c r="J3" s="361"/>
      <c r="K3" s="361">
        <f>100/500</f>
        <v>0.2</v>
      </c>
      <c r="L3" s="361"/>
      <c r="M3" s="361">
        <f>100/500</f>
        <v>0.2</v>
      </c>
      <c r="N3" s="361"/>
    </row>
    <row r="4" spans="1:14" x14ac:dyDescent="0.25">
      <c r="A4" s="369"/>
      <c r="B4" s="369"/>
      <c r="C4" s="372"/>
      <c r="D4" s="372"/>
      <c r="E4" s="15" t="s">
        <v>254</v>
      </c>
      <c r="F4" s="15" t="s">
        <v>255</v>
      </c>
      <c r="G4" s="15" t="s">
        <v>254</v>
      </c>
      <c r="H4" s="15" t="s">
        <v>255</v>
      </c>
      <c r="I4" s="15" t="s">
        <v>254</v>
      </c>
      <c r="J4" s="15" t="s">
        <v>255</v>
      </c>
      <c r="K4" s="15" t="s">
        <v>254</v>
      </c>
      <c r="L4" s="15" t="s">
        <v>255</v>
      </c>
      <c r="M4" s="15" t="s">
        <v>254</v>
      </c>
      <c r="N4" s="15" t="s">
        <v>255</v>
      </c>
    </row>
    <row r="5" spans="1:14" ht="16.899999999999999" customHeight="1" x14ac:dyDescent="0.25">
      <c r="A5" s="16">
        <v>1</v>
      </c>
      <c r="B5" s="17" t="s">
        <v>1275</v>
      </c>
      <c r="C5" s="18">
        <f>F5*$E$3+H5*$G$3+J5*$I$3+L5*$K$3+N5*$M$3</f>
        <v>1.4</v>
      </c>
      <c r="D5" s="16" t="str">
        <f>IF(AND(C5&gt;=$B$25,C5&lt;=$C$25),$A$25,IF(AND(C5&gt;=$B$24,C5&lt;=$C$24),$A$24,IF(AND(C5&gt;=$B$23,C5&lt;=$C$23),$A$23)))</f>
        <v>Medium</v>
      </c>
      <c r="E5" s="19" t="s">
        <v>409</v>
      </c>
      <c r="F5" s="19">
        <f>VLOOKUP(E5,$F$8:$G$11,2,FALSE)</f>
        <v>3</v>
      </c>
      <c r="G5" s="19" t="s">
        <v>283</v>
      </c>
      <c r="H5" s="19">
        <f>VLOOKUP(G5,$F$8:$G$11,2,FALSE)</f>
        <v>1</v>
      </c>
      <c r="I5" s="19" t="s">
        <v>259</v>
      </c>
      <c r="J5" s="19">
        <f>VLOOKUP(I5,$H$8:$I$10,2,FALSE)</f>
        <v>1</v>
      </c>
      <c r="K5" s="19" t="s">
        <v>259</v>
      </c>
      <c r="L5" s="19">
        <f>VLOOKUP(K5,$H$8:$I$10,2,FALSE)</f>
        <v>1</v>
      </c>
      <c r="M5" s="19" t="s">
        <v>259</v>
      </c>
      <c r="N5" s="19">
        <f>VLOOKUP(M5,$H$8:$I$10,2,FALSE)</f>
        <v>1</v>
      </c>
    </row>
    <row r="6" spans="1:14" x14ac:dyDescent="0.25">
      <c r="A6" s="16">
        <v>2</v>
      </c>
      <c r="B6" s="17" t="s">
        <v>1276</v>
      </c>
      <c r="C6" s="18">
        <f>F6*$E$3+H6*$G$3+J6*$I$3+L6*$K$3+N6*$M$3</f>
        <v>2</v>
      </c>
      <c r="D6" s="16" t="str">
        <f>IF(AND(C6&gt;=$B$25,C6&lt;=$C$25),$A$25,IF(AND(C6&gt;=$B$24,C6&lt;=$C$24),$A$24,IF(AND(C6&gt;=$B$23,C6&lt;=$C$23),$A$23)))</f>
        <v>Medium</v>
      </c>
      <c r="E6" s="19" t="s">
        <v>283</v>
      </c>
      <c r="F6" s="19">
        <f>VLOOKUP(E6,$F$8:$G$11,2,FALSE)</f>
        <v>1</v>
      </c>
      <c r="G6" s="19" t="s">
        <v>257</v>
      </c>
      <c r="H6" s="19">
        <f>VLOOKUP(G6,$F$8:$G$11,2,FALSE)</f>
        <v>2</v>
      </c>
      <c r="I6" s="19" t="s">
        <v>259</v>
      </c>
      <c r="J6" s="19">
        <f>VLOOKUP(I6,$H$8:$I$10,2,FALSE)</f>
        <v>1</v>
      </c>
      <c r="K6" s="19" t="s">
        <v>258</v>
      </c>
      <c r="L6" s="19">
        <f>VLOOKUP(K6,$H$8:$I$10,2,FALSE)</f>
        <v>3</v>
      </c>
      <c r="M6" s="19" t="s">
        <v>258</v>
      </c>
      <c r="N6" s="19">
        <f>VLOOKUP(M6,$H$8:$I$10,2,FALSE)</f>
        <v>3</v>
      </c>
    </row>
    <row r="7" spans="1:14" x14ac:dyDescent="0.25">
      <c r="A7" s="16">
        <v>3</v>
      </c>
      <c r="B7" s="17" t="s">
        <v>1277</v>
      </c>
      <c r="C7" s="18">
        <f>F7*$E$3+H7*$G$3+J7*$I$3+L7*$K$3+N7*$M$3</f>
        <v>2.2000000000000002</v>
      </c>
      <c r="D7" s="16" t="str">
        <f>IF(AND(C7&gt;=$B$25,C7&lt;=$C$25),$A$25,IF(AND(C7&gt;=$B$24,C7&lt;=$C$24),$A$24,IF(AND(C7&gt;=$B$23,C7&lt;=$C$23),$A$23)))</f>
        <v>High</v>
      </c>
      <c r="E7" s="19" t="s">
        <v>283</v>
      </c>
      <c r="F7" s="19">
        <f>VLOOKUP(E7,$F$8:$G$11,2,FALSE)</f>
        <v>1</v>
      </c>
      <c r="G7" s="19" t="s">
        <v>409</v>
      </c>
      <c r="H7" s="19">
        <f>VLOOKUP(G7,$F$8:$G$11,2,FALSE)</f>
        <v>3</v>
      </c>
      <c r="I7" s="19" t="s">
        <v>258</v>
      </c>
      <c r="J7" s="19">
        <f>VLOOKUP(I7,$H$8:$I$10,2,FALSE)</f>
        <v>3</v>
      </c>
      <c r="K7" s="19" t="s">
        <v>259</v>
      </c>
      <c r="L7" s="19">
        <f>VLOOKUP(K7,$H$8:$I$10,2,FALSE)</f>
        <v>1</v>
      </c>
      <c r="M7" s="19" t="s">
        <v>258</v>
      </c>
      <c r="N7" s="19">
        <f>VLOOKUP(M7,$H$8:$I$10,2,FALSE)</f>
        <v>3</v>
      </c>
    </row>
    <row r="8" spans="1:14" hidden="1" x14ac:dyDescent="0.25">
      <c r="E8" s="12">
        <v>3</v>
      </c>
      <c r="F8" s="14" t="s">
        <v>409</v>
      </c>
      <c r="G8" s="12">
        <v>3</v>
      </c>
      <c r="H8" s="14" t="s">
        <v>258</v>
      </c>
      <c r="I8" s="12">
        <v>3</v>
      </c>
      <c r="J8" s="14"/>
      <c r="K8" s="12"/>
      <c r="L8" s="14"/>
    </row>
    <row r="9" spans="1:14" hidden="1" x14ac:dyDescent="0.25">
      <c r="E9" s="12">
        <v>2</v>
      </c>
      <c r="F9" s="14" t="s">
        <v>257</v>
      </c>
      <c r="G9" s="12">
        <v>2</v>
      </c>
      <c r="H9" s="14" t="s">
        <v>259</v>
      </c>
      <c r="I9" s="12">
        <v>1</v>
      </c>
      <c r="J9" s="14"/>
      <c r="K9" s="12"/>
      <c r="L9" s="14"/>
    </row>
    <row r="10" spans="1:14" hidden="1" x14ac:dyDescent="0.25">
      <c r="E10" s="12">
        <v>1</v>
      </c>
      <c r="F10" s="14" t="s">
        <v>283</v>
      </c>
      <c r="G10" s="12">
        <v>1</v>
      </c>
      <c r="H10" s="14" t="s">
        <v>278</v>
      </c>
      <c r="I10" s="12">
        <v>0</v>
      </c>
      <c r="J10" s="14"/>
      <c r="K10" s="12"/>
      <c r="L10" s="14"/>
    </row>
    <row r="11" spans="1:14" ht="19.149999999999999" hidden="1" customHeight="1" x14ac:dyDescent="0.25">
      <c r="E11" s="12">
        <v>0</v>
      </c>
      <c r="F11" s="14" t="s">
        <v>278</v>
      </c>
      <c r="G11" s="12">
        <v>0</v>
      </c>
      <c r="L11" s="14"/>
    </row>
    <row r="14" spans="1:14" ht="42" customHeight="1" x14ac:dyDescent="0.25">
      <c r="A14" s="367" t="s">
        <v>1241</v>
      </c>
      <c r="B14" s="367" t="s">
        <v>1278</v>
      </c>
      <c r="C14" s="370" t="s">
        <v>1270</v>
      </c>
      <c r="D14" s="370" t="s">
        <v>1271</v>
      </c>
      <c r="E14" s="360" t="s">
        <v>282</v>
      </c>
      <c r="F14" s="360"/>
      <c r="G14" s="373" t="s">
        <v>1272</v>
      </c>
      <c r="H14" s="374"/>
      <c r="I14" s="373" t="s">
        <v>253</v>
      </c>
      <c r="J14" s="374"/>
      <c r="K14" s="360" t="s">
        <v>1273</v>
      </c>
      <c r="L14" s="360"/>
      <c r="M14" s="360" t="s">
        <v>1274</v>
      </c>
      <c r="N14" s="360"/>
    </row>
    <row r="15" spans="1:14" ht="24" customHeight="1" x14ac:dyDescent="0.25">
      <c r="A15" s="368"/>
      <c r="B15" s="368"/>
      <c r="C15" s="371"/>
      <c r="D15" s="371"/>
      <c r="E15" s="361">
        <f>100/500</f>
        <v>0.2</v>
      </c>
      <c r="F15" s="361"/>
      <c r="G15" s="361">
        <f>100/500</f>
        <v>0.2</v>
      </c>
      <c r="H15" s="361"/>
      <c r="I15" s="361">
        <f>100/500</f>
        <v>0.2</v>
      </c>
      <c r="J15" s="361"/>
      <c r="K15" s="361">
        <f>100/500</f>
        <v>0.2</v>
      </c>
      <c r="L15" s="361"/>
      <c r="M15" s="361">
        <f>100/500</f>
        <v>0.2</v>
      </c>
      <c r="N15" s="361"/>
    </row>
    <row r="16" spans="1:14" x14ac:dyDescent="0.25">
      <c r="A16" s="369"/>
      <c r="B16" s="369"/>
      <c r="C16" s="372"/>
      <c r="D16" s="372"/>
      <c r="E16" s="15" t="s">
        <v>254</v>
      </c>
      <c r="F16" s="15" t="s">
        <v>255</v>
      </c>
      <c r="G16" s="15" t="s">
        <v>254</v>
      </c>
      <c r="H16" s="15" t="s">
        <v>255</v>
      </c>
      <c r="I16" s="15" t="s">
        <v>254</v>
      </c>
      <c r="J16" s="15" t="s">
        <v>255</v>
      </c>
      <c r="K16" s="15" t="s">
        <v>254</v>
      </c>
      <c r="L16" s="15" t="s">
        <v>255</v>
      </c>
      <c r="M16" s="15" t="s">
        <v>254</v>
      </c>
      <c r="N16" s="15" t="s">
        <v>255</v>
      </c>
    </row>
    <row r="17" spans="1:14" ht="16.899999999999999" customHeight="1" x14ac:dyDescent="0.25">
      <c r="A17" s="16">
        <v>1</v>
      </c>
      <c r="B17" s="17" t="s">
        <v>1275</v>
      </c>
      <c r="C17" s="18">
        <f>F17*$E$3+H17*$G$3+J17*$I$3+L17*$K$3+N17*$M$3</f>
        <v>1</v>
      </c>
      <c r="D17" s="16" t="str">
        <f>IF(AND(C17&gt;=$B$25,C17&lt;=$C$25),$A$25,IF(AND(C17&gt;=$B$24,C17&lt;=$C$24),$A$24,IF(AND(C17&gt;=$B$23,C17&lt;=$C$23),$A$23)))</f>
        <v>Low</v>
      </c>
      <c r="E17" s="19" t="s">
        <v>283</v>
      </c>
      <c r="F17" s="19">
        <f>VLOOKUP(E17,$F$8:$G$11,2,FALSE)</f>
        <v>1</v>
      </c>
      <c r="G17" s="19" t="s">
        <v>283</v>
      </c>
      <c r="H17" s="19">
        <f>VLOOKUP(G17,$F$8:$G$11,2,FALSE)</f>
        <v>1</v>
      </c>
      <c r="I17" s="19" t="s">
        <v>259</v>
      </c>
      <c r="J17" s="19">
        <f>VLOOKUP(I17,$H$8:$I$10,2,FALSE)</f>
        <v>1</v>
      </c>
      <c r="K17" s="19" t="s">
        <v>259</v>
      </c>
      <c r="L17" s="19">
        <f>VLOOKUP(K17,$H$8:$I$10,2,FALSE)</f>
        <v>1</v>
      </c>
      <c r="M17" s="19" t="s">
        <v>259</v>
      </c>
      <c r="N17" s="19">
        <f>VLOOKUP(M17,$H$8:$I$10,2,FALSE)</f>
        <v>1</v>
      </c>
    </row>
    <row r="18" spans="1:14" x14ac:dyDescent="0.25">
      <c r="A18" s="16">
        <v>2</v>
      </c>
      <c r="B18" s="17" t="s">
        <v>1276</v>
      </c>
      <c r="C18" s="18">
        <f>F18*$E$3+H18*$G$3+J18*$I$3+L18*$K$3+N18*$M$3</f>
        <v>2.2000000000000002</v>
      </c>
      <c r="D18" s="16" t="str">
        <f>IF(AND(C18&gt;=$B$25,C18&lt;=$C$25),$A$25,IF(AND(C18&gt;=$B$24,C18&lt;=$C$24),$A$24,IF(AND(C18&gt;=$B$23,C18&lt;=$C$23),$A$23)))</f>
        <v>High</v>
      </c>
      <c r="E18" s="19" t="s">
        <v>409</v>
      </c>
      <c r="F18" s="19">
        <f>VLOOKUP(E18,$F$8:$G$11,2,FALSE)</f>
        <v>3</v>
      </c>
      <c r="G18" s="19" t="s">
        <v>283</v>
      </c>
      <c r="H18" s="19">
        <f>VLOOKUP(G18,$F$8:$G$11,2,FALSE)</f>
        <v>1</v>
      </c>
      <c r="I18" s="19" t="s">
        <v>259</v>
      </c>
      <c r="J18" s="19">
        <f>VLOOKUP(I18,$H$8:$I$10,2,FALSE)</f>
        <v>1</v>
      </c>
      <c r="K18" s="19" t="s">
        <v>258</v>
      </c>
      <c r="L18" s="19">
        <f>VLOOKUP(K18,$H$8:$I$10,2,FALSE)</f>
        <v>3</v>
      </c>
      <c r="M18" s="19" t="s">
        <v>258</v>
      </c>
      <c r="N18" s="19">
        <f>VLOOKUP(M18,$H$8:$I$10,2,FALSE)</f>
        <v>3</v>
      </c>
    </row>
    <row r="19" spans="1:14" x14ac:dyDescent="0.25">
      <c r="A19" s="16">
        <v>3</v>
      </c>
      <c r="B19" s="17" t="s">
        <v>1277</v>
      </c>
      <c r="C19" s="18">
        <f>F19*$E$3+H19*$G$3+J19*$I$3+L19*$K$3+N19*$M$3</f>
        <v>1.8</v>
      </c>
      <c r="D19" s="16" t="str">
        <f>IF(AND(C19&gt;=$B$25,C19&lt;=$C$25),$A$25,IF(AND(C19&gt;=$B$24,C19&lt;=$C$24),$A$24,IF(AND(C19&gt;=$B$23,C19&lt;=$C$23),$A$23)))</f>
        <v>Medium</v>
      </c>
      <c r="E19" s="19" t="s">
        <v>283</v>
      </c>
      <c r="F19" s="19">
        <f>VLOOKUP(E19,$F$8:$G$11,2,FALSE)</f>
        <v>1</v>
      </c>
      <c r="G19" s="19" t="s">
        <v>409</v>
      </c>
      <c r="H19" s="19">
        <f>VLOOKUP(G19,$F$8:$G$11,2,FALSE)</f>
        <v>3</v>
      </c>
      <c r="I19" s="19" t="s">
        <v>259</v>
      </c>
      <c r="J19" s="19">
        <f>VLOOKUP(I19,$H$8:$I$10,2,FALSE)</f>
        <v>1</v>
      </c>
      <c r="K19" s="19" t="s">
        <v>259</v>
      </c>
      <c r="L19" s="19">
        <f>VLOOKUP(K19,$H$8:$I$10,2,FALSE)</f>
        <v>1</v>
      </c>
      <c r="M19" s="19" t="s">
        <v>258</v>
      </c>
      <c r="N19" s="19">
        <f>VLOOKUP(M19,$H$8:$I$10,2,FALSE)</f>
        <v>3</v>
      </c>
    </row>
    <row r="21" spans="1:14" x14ac:dyDescent="0.25">
      <c r="A21" s="20" t="s">
        <v>119</v>
      </c>
      <c r="B21" s="20"/>
      <c r="C21" s="20"/>
    </row>
    <row r="22" spans="1:14" x14ac:dyDescent="0.25">
      <c r="A22" s="21" t="s">
        <v>120</v>
      </c>
      <c r="B22" s="21" t="s">
        <v>273</v>
      </c>
      <c r="C22" s="21" t="s">
        <v>274</v>
      </c>
    </row>
    <row r="23" spans="1:14" x14ac:dyDescent="0.25">
      <c r="A23" s="22" t="s">
        <v>3</v>
      </c>
      <c r="B23" s="23">
        <v>2.0099999999999998</v>
      </c>
      <c r="C23" s="24">
        <v>3</v>
      </c>
    </row>
    <row r="24" spans="1:14" x14ac:dyDescent="0.25">
      <c r="A24" s="22" t="s">
        <v>1</v>
      </c>
      <c r="B24" s="23">
        <v>1.01</v>
      </c>
      <c r="C24" s="24">
        <v>2</v>
      </c>
    </row>
    <row r="25" spans="1:14" x14ac:dyDescent="0.25">
      <c r="A25" s="22" t="s">
        <v>2</v>
      </c>
      <c r="B25" s="23">
        <v>0</v>
      </c>
      <c r="C25" s="24">
        <v>1</v>
      </c>
    </row>
  </sheetData>
  <mergeCells count="28">
    <mergeCell ref="I14:J14"/>
    <mergeCell ref="K14:L14"/>
    <mergeCell ref="M14:N14"/>
    <mergeCell ref="E15:F15"/>
    <mergeCell ref="G15:H15"/>
    <mergeCell ref="I15:J15"/>
    <mergeCell ref="K15:L15"/>
    <mergeCell ref="M15:N15"/>
    <mergeCell ref="G14:H14"/>
    <mergeCell ref="A14:A16"/>
    <mergeCell ref="B14:B16"/>
    <mergeCell ref="C14:C16"/>
    <mergeCell ref="D14:D16"/>
    <mergeCell ref="E14:F14"/>
    <mergeCell ref="I2:J2"/>
    <mergeCell ref="K2:L2"/>
    <mergeCell ref="M2:N2"/>
    <mergeCell ref="E3:F3"/>
    <mergeCell ref="G3:H3"/>
    <mergeCell ref="I3:J3"/>
    <mergeCell ref="K3:L3"/>
    <mergeCell ref="M3:N3"/>
    <mergeCell ref="G2:H2"/>
    <mergeCell ref="A2:A4"/>
    <mergeCell ref="B2:B4"/>
    <mergeCell ref="C2:C4"/>
    <mergeCell ref="D2:D4"/>
    <mergeCell ref="E2:F2"/>
  </mergeCells>
  <dataValidations count="2">
    <dataValidation type="list" allowBlank="1" showInputMessage="1" showErrorMessage="1" sqref="G5:G7 E5:E7 G17:G19 E17:E19" xr:uid="{00BCEB1C-CCDD-4010-9068-FD826811B5C8}">
      <formula1>$F$8:$F$11</formula1>
    </dataValidation>
    <dataValidation type="list" allowBlank="1" showInputMessage="1" showErrorMessage="1" sqref="I5:I7 M5:M7 K5:K7 I17:I19 M17:M19 K17:K19" xr:uid="{4273A111-EA2A-47A5-A0C2-ADC1C284743F}">
      <formula1>$H$8:$H$10</formula1>
    </dataValidation>
  </dataValidation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8FCA56-6DF4-47F1-BB80-A851FE727C28}">
  <sheetPr codeName="Sheet9"/>
  <dimension ref="A1:E14"/>
  <sheetViews>
    <sheetView showGridLines="0" zoomScale="80" zoomScaleNormal="80" workbookViewId="0">
      <selection activeCell="D21" sqref="D21"/>
    </sheetView>
  </sheetViews>
  <sheetFormatPr defaultRowHeight="15" x14ac:dyDescent="0.25"/>
  <cols>
    <col min="1" max="1" width="1.7109375" customWidth="1"/>
    <col min="2" max="2" width="4.42578125" bestFit="1" customWidth="1"/>
    <col min="3" max="3" width="11.42578125" bestFit="1" customWidth="1"/>
    <col min="4" max="4" width="37.5703125" customWidth="1"/>
    <col min="5" max="5" width="12.7109375" bestFit="1" customWidth="1"/>
  </cols>
  <sheetData>
    <row r="1" spans="1:5" x14ac:dyDescent="0.25">
      <c r="A1" t="s">
        <v>436</v>
      </c>
    </row>
    <row r="5" spans="1:5" ht="15.75" x14ac:dyDescent="0.25">
      <c r="B5" s="375" t="s">
        <v>1279</v>
      </c>
      <c r="C5" s="375"/>
      <c r="D5" s="375"/>
    </row>
    <row r="6" spans="1:5" ht="15.75" x14ac:dyDescent="0.25">
      <c r="B6" s="2" t="s">
        <v>435</v>
      </c>
      <c r="C6" s="2" t="s">
        <v>434</v>
      </c>
      <c r="D6" s="4" t="s">
        <v>110</v>
      </c>
      <c r="E6" s="4" t="s">
        <v>1225</v>
      </c>
    </row>
    <row r="7" spans="1:5" x14ac:dyDescent="0.25">
      <c r="B7" s="1">
        <v>1</v>
      </c>
      <c r="C7" s="1">
        <v>0</v>
      </c>
      <c r="D7" s="8">
        <v>0</v>
      </c>
      <c r="E7" s="5"/>
    </row>
    <row r="8" spans="1:5" x14ac:dyDescent="0.25">
      <c r="B8" s="1">
        <v>2</v>
      </c>
      <c r="C8" s="6" t="s">
        <v>1438</v>
      </c>
      <c r="D8" s="8">
        <v>2</v>
      </c>
      <c r="E8" s="5"/>
    </row>
    <row r="9" spans="1:5" x14ac:dyDescent="0.25">
      <c r="B9" s="1">
        <v>3</v>
      </c>
      <c r="C9" s="3" t="s">
        <v>1439</v>
      </c>
      <c r="D9" s="8">
        <v>3</v>
      </c>
      <c r="E9" s="5"/>
    </row>
    <row r="11" spans="1:5" ht="15.75" x14ac:dyDescent="0.25">
      <c r="B11" s="375" t="s">
        <v>1280</v>
      </c>
      <c r="C11" s="375"/>
      <c r="D11" s="375"/>
    </row>
    <row r="12" spans="1:5" ht="15.75" x14ac:dyDescent="0.25">
      <c r="B12" s="2" t="s">
        <v>435</v>
      </c>
      <c r="C12" s="2" t="s">
        <v>434</v>
      </c>
      <c r="D12" s="4" t="s">
        <v>1229</v>
      </c>
      <c r="E12" s="4" t="s">
        <v>1225</v>
      </c>
    </row>
    <row r="13" spans="1:5" x14ac:dyDescent="0.25">
      <c r="B13" s="1">
        <v>1</v>
      </c>
      <c r="C13" s="1">
        <v>0</v>
      </c>
      <c r="D13" s="8">
        <v>0</v>
      </c>
      <c r="E13" s="7"/>
    </row>
    <row r="14" spans="1:5" x14ac:dyDescent="0.25">
      <c r="B14" s="1">
        <v>2</v>
      </c>
      <c r="C14" s="3" t="s">
        <v>433</v>
      </c>
      <c r="D14" s="8">
        <v>3</v>
      </c>
      <c r="E14" s="7"/>
    </row>
  </sheetData>
  <mergeCells count="2">
    <mergeCell ref="B5:D5"/>
    <mergeCell ref="B11:D11"/>
  </mergeCells>
  <pageMargins left="0.7" right="0.7" top="0.75" bottom="0.75" header="0.3" footer="0.3"/>
  <pageSetup orientation="portrait" horizontalDpi="200" verticalDpi="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664C84AAAD9E7478741B5F3A6FD5EE3" ma:contentTypeVersion="13" ma:contentTypeDescription="Create a new document." ma:contentTypeScope="" ma:versionID="4c36ea7cdb8e8f0b3085408fb20ad256">
  <xsd:schema xmlns:xsd="http://www.w3.org/2001/XMLSchema" xmlns:xs="http://www.w3.org/2001/XMLSchema" xmlns:p="http://schemas.microsoft.com/office/2006/metadata/properties" xmlns:ns3="e42960f1-6e65-4322-8037-f5efade87e8d" xmlns:ns4="21479969-c426-46e1-86bd-4c2b49ddec62" targetNamespace="http://schemas.microsoft.com/office/2006/metadata/properties" ma:root="true" ma:fieldsID="ea9dd20655ee5e093501dca4823c0a54" ns3:_="" ns4:_="">
    <xsd:import namespace="e42960f1-6e65-4322-8037-f5efade87e8d"/>
    <xsd:import namespace="21479969-c426-46e1-86bd-4c2b49ddec62"/>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42960f1-6e65-4322-8037-f5efade87e8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element name="MediaServiceLocation" ma:index="20" nillable="true" ma:displayName="Location"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1479969-c426-46e1-86bd-4c2b49ddec6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
</file>

<file path=customXml/itemProps1.xml><?xml version="1.0" encoding="utf-8"?>
<ds:datastoreItem xmlns:ds="http://schemas.openxmlformats.org/officeDocument/2006/customXml" ds:itemID="{7F6C5193-1758-4282-BD25-B345886E68B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42960f1-6e65-4322-8037-f5efade87e8d"/>
    <ds:schemaRef ds:uri="21479969-c426-46e1-86bd-4c2b49ddec6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87866CE-B959-48F6-89A6-7B1512F4E642}">
  <ds:schemaRefs>
    <ds:schemaRef ds:uri="http://purl.org/dc/elements/1.1/"/>
    <ds:schemaRef ds:uri="http://schemas.microsoft.com/office/2006/metadata/properties"/>
    <ds:schemaRef ds:uri="http://purl.org/dc/terms/"/>
    <ds:schemaRef ds:uri="e42960f1-6e65-4322-8037-f5efade87e8d"/>
    <ds:schemaRef ds:uri="http://schemas.microsoft.com/office/2006/documentManagement/types"/>
    <ds:schemaRef ds:uri="http://schemas.microsoft.com/office/infopath/2007/PartnerControls"/>
    <ds:schemaRef ds:uri="http://schemas.openxmlformats.org/package/2006/metadata/core-properties"/>
    <ds:schemaRef ds:uri="21479969-c426-46e1-86bd-4c2b49ddec62"/>
    <ds:schemaRef ds:uri="http://www.w3.org/XML/1998/namespace"/>
    <ds:schemaRef ds:uri="http://purl.org/dc/dcmitype/"/>
  </ds:schemaRefs>
</ds:datastoreItem>
</file>

<file path=customXml/itemProps3.xml><?xml version="1.0" encoding="utf-8"?>
<ds:datastoreItem xmlns:ds="http://schemas.openxmlformats.org/officeDocument/2006/customXml" ds:itemID="{2F1C7049-C222-4236-91C2-D6946F20FB64}">
  <ds:schemaRefs>
    <ds:schemaRef ds:uri="http://schemas.microsoft.com/sharepoint/v3/contenttype/forms"/>
  </ds:schemaRefs>
</ds:datastoreItem>
</file>

<file path=customXml/itemProps4.xml><?xml version="1.0" encoding="utf-8"?>
<ds:datastoreItem xmlns:ds="http://schemas.openxmlformats.org/officeDocument/2006/customXml" ds:itemID="{D106D76E-78F1-4CAC-891F-314C360B5ED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26</vt:i4>
      </vt:variant>
    </vt:vector>
  </HeadingPairs>
  <TitlesOfParts>
    <vt:vector size="37" baseType="lpstr">
      <vt:lpstr>Guidelines</vt:lpstr>
      <vt:lpstr>Working</vt:lpstr>
      <vt:lpstr>Calculation</vt:lpstr>
      <vt:lpstr>Sheet2</vt:lpstr>
      <vt:lpstr>Review Periodicity</vt:lpstr>
      <vt:lpstr>Customer Type Risk</vt:lpstr>
      <vt:lpstr>Country Risk</vt:lpstr>
      <vt:lpstr>Product Risk</vt:lpstr>
      <vt:lpstr>Service Risk</vt:lpstr>
      <vt:lpstr>Delivery Channel Risk</vt:lpstr>
      <vt:lpstr>Transaction Investigation Risk</vt:lpstr>
      <vt:lpstr>accper</vt:lpstr>
      <vt:lpstr>AltNationality_Score</vt:lpstr>
      <vt:lpstr>BeneficiaryType_Score</vt:lpstr>
      <vt:lpstr>BirthCountry_Score</vt:lpstr>
      <vt:lpstr>CountryRisk</vt:lpstr>
      <vt:lpstr>CR</vt:lpstr>
      <vt:lpstr>CRR</vt:lpstr>
      <vt:lpstr>cusseg</vt:lpstr>
      <vt:lpstr>CustomerSeg_Score</vt:lpstr>
      <vt:lpstr>empper</vt:lpstr>
      <vt:lpstr>EmpStatus_Score</vt:lpstr>
      <vt:lpstr>GR</vt:lpstr>
      <vt:lpstr>Industry_Score</vt:lpstr>
      <vt:lpstr>natper</vt:lpstr>
      <vt:lpstr>PEP_Score</vt:lpstr>
      <vt:lpstr>pepper</vt:lpstr>
      <vt:lpstr>PR</vt:lpstr>
      <vt:lpstr>PrmNationality_Score</vt:lpstr>
      <vt:lpstr>Profession_Score</vt:lpstr>
      <vt:lpstr>Profper</vt:lpstr>
      <vt:lpstr>ResidenceCountry_Score</vt:lpstr>
      <vt:lpstr>ResidencyStatus_Score</vt:lpstr>
      <vt:lpstr>resper</vt:lpstr>
      <vt:lpstr>Score_Range</vt:lpstr>
      <vt:lpstr>tranper</vt:lpstr>
      <vt:lpstr>TransactionScore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EY</dc:creator>
  <cp:lastModifiedBy>Sridhar Ragunathan</cp:lastModifiedBy>
  <cp:lastPrinted>2024-06-20T14:23:22Z</cp:lastPrinted>
  <dcterms:created xsi:type="dcterms:W3CDTF">2019-01-30T12:55:05Z</dcterms:created>
  <dcterms:modified xsi:type="dcterms:W3CDTF">2025-02-24T06:55:54Z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ileName">
    <vt:lpwstr/>
  </property>
  <property fmtid="{D5CDD505-2E9C-101B-9397-08002B2CF9AE}" pid="3" name="ContentTypeId">
    <vt:lpwstr>0x0101005664C84AAAD9E7478741B5F3A6FD5EE3</vt:lpwstr>
  </property>
</Properties>
</file>